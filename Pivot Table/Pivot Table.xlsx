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eyam\OneDrive\Pictures\Desktop\"/>
    </mc:Choice>
  </mc:AlternateContent>
  <xr:revisionPtr revIDLastSave="0" documentId="8_{C476B45C-ED4A-4092-809B-BDFD8AD2869F}" xr6:coauthVersionLast="47" xr6:coauthVersionMax="47" xr10:uidLastSave="{00000000-0000-0000-0000-000000000000}"/>
  <bookViews>
    <workbookView xWindow="-108" yWindow="-108" windowWidth="23256" windowHeight="12456" activeTab="1" xr2:uid="{00000000-000D-0000-FFFF-FFFF00000000}"/>
  </bookViews>
  <sheets>
    <sheet name="Raw Sales Data" sheetId="1" r:id="rId1"/>
    <sheet name="Pivot" sheetId="4" r:id="rId2"/>
    <sheet name="Instructions" sheetId="2" r:id="rId3"/>
    <sheet name="summary" sheetId="3" r:id="rId4"/>
  </sheets>
  <externalReferences>
    <externalReference r:id="rId5"/>
  </externalReferences>
  <definedNames>
    <definedName name="Slicer_Product_Category">#N/A</definedName>
  </definedNames>
  <calcPr calcId="191029"/>
  <pivotCaches>
    <pivotCache cacheId="1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B3" i="3"/>
  <c r="B4" i="3"/>
  <c r="B5" i="3"/>
  <c r="B11" i="3"/>
  <c r="B12" i="3"/>
  <c r="B13" i="3"/>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J16" i="1"/>
  <c r="J32" i="1"/>
  <c r="J33" i="1"/>
  <c r="J34" i="1"/>
  <c r="J56" i="1"/>
  <c r="J96" i="1"/>
  <c r="J144" i="1"/>
  <c r="J162"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I33" i="1"/>
  <c r="I34" i="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alcChain>
</file>

<file path=xl/sharedStrings.xml><?xml version="1.0" encoding="utf-8"?>
<sst xmlns="http://schemas.openxmlformats.org/spreadsheetml/2006/main" count="811" uniqueCount="89">
  <si>
    <t>Order ID</t>
  </si>
  <si>
    <t>Order Date</t>
  </si>
  <si>
    <t>Sales Rep</t>
  </si>
  <si>
    <t>Region</t>
  </si>
  <si>
    <t>Product Category</t>
  </si>
  <si>
    <t>Product Name</t>
  </si>
  <si>
    <t>Qty Sold</t>
  </si>
  <si>
    <t>Unit Price (₹)</t>
  </si>
  <si>
    <t>Meera</t>
  </si>
  <si>
    <t>North</t>
  </si>
  <si>
    <t>Electronics</t>
  </si>
  <si>
    <t>Wireless Earbuds</t>
  </si>
  <si>
    <t>Rohan</t>
  </si>
  <si>
    <t>South</t>
  </si>
  <si>
    <t>Webcam</t>
  </si>
  <si>
    <t>Home</t>
  </si>
  <si>
    <t>Wall Clock</t>
  </si>
  <si>
    <t>Air Purifier</t>
  </si>
  <si>
    <t>USB Hub</t>
  </si>
  <si>
    <t>Suresh</t>
  </si>
  <si>
    <t>Apparel</t>
  </si>
  <si>
    <t>Sports Shoes</t>
  </si>
  <si>
    <t>Ananya</t>
  </si>
  <si>
    <t>Kurta Set</t>
  </si>
  <si>
    <t>Bluetooth Speaker</t>
  </si>
  <si>
    <t>Priya</t>
  </si>
  <si>
    <t>East</t>
  </si>
  <si>
    <t>Coffee Maker</t>
  </si>
  <si>
    <t>Kiran</t>
  </si>
  <si>
    <t>West</t>
  </si>
  <si>
    <t>Cotton Shirt</t>
  </si>
  <si>
    <t>Table Lamp</t>
  </si>
  <si>
    <t>Smart Watch</t>
  </si>
  <si>
    <t>Denim Jacket</t>
  </si>
  <si>
    <t>Non-stick Pan</t>
  </si>
  <si>
    <t>Formal Trousers</t>
  </si>
  <si>
    <t>2024/10/29</t>
  </si>
  <si>
    <t>Sales Performance Project — Student Instructions</t>
  </si>
  <si>
    <t>DAY 1 TASKS</t>
  </si>
  <si>
    <t>1. Go to 'Raw Sales Data' sheet. Find and fix the intentional errors: duplicate row, wrong date format, blank rows.</t>
  </si>
  <si>
    <t>2. Format the data as a Table (Ctrl+T) and freeze the header row.</t>
  </si>
  <si>
    <t>3. Add these new columns (after Unit Price):</t>
  </si>
  <si>
    <t xml:space="preserve">   • Revenue = Qty Sold × Unit Price</t>
  </si>
  <si>
    <t xml:space="preserve">   • Profit = Revenue × 20%</t>
  </si>
  <si>
    <t xml:space="preserve">   • Month = TEXT(Order Date, "MMM")</t>
  </si>
  <si>
    <t xml:space="preserve">   • Quarter = Use nested IF() to assign Q1/Q2/Q3/Q4 based on month number</t>
  </si>
  <si>
    <t xml:space="preserve">   • Flag = IF(Revenue &gt; 10000, "High Value", "Normal")</t>
  </si>
  <si>
    <t>4. On a new sheet called 'Summary', build:</t>
  </si>
  <si>
    <t xml:space="preserve">   • Total Revenue per Region using SUMIF</t>
  </si>
  <si>
    <t xml:space="preserve">   • Order count per Product Category using COUNTIF</t>
  </si>
  <si>
    <t>5. Create your first Pivot Table: Revenue by Region × Month, with a Category slicer.</t>
  </si>
  <si>
    <t>DAY 2 TASKS</t>
  </si>
  <si>
    <t>6. Create 2 more Pivot Tables: Top 5 products by Profit | Sales Rep performance (Revenue + Order Count).</t>
  </si>
  <si>
    <t>7. From each pivot, insert a chart: Bar (Revenue by Region), Line (Monthly Trend), Pie/Donut (Category mix).</t>
  </si>
  <si>
    <t>8. Create a new sheet called 'Dashboard'. Assemble your charts + 4 KPI boxes:</t>
  </si>
  <si>
    <t xml:space="preserve">   • Total Revenue  • Top Region  • Best Product  • Total Orders</t>
  </si>
  <si>
    <t>9. Apply a clean, consistent colour theme. Add your name and a dashboard title.</t>
  </si>
  <si>
    <t>10. Below the dashboard, write 3–5 bullet insights answering:</t>
  </si>
  <si>
    <t xml:space="preserve">    • Which region underperformed?  • Which product to push?  • Best month?</t>
  </si>
  <si>
    <t>11. Present your dashboard to the class (2–3 minutes).</t>
  </si>
  <si>
    <t>Revenue</t>
  </si>
  <si>
    <t>Profit</t>
  </si>
  <si>
    <t>Month</t>
  </si>
  <si>
    <t>Flag</t>
  </si>
  <si>
    <t>Quarter</t>
  </si>
  <si>
    <t>Total Revenue</t>
  </si>
  <si>
    <t>Count of Oders</t>
  </si>
  <si>
    <t>TOP SELLING PRODUCT</t>
  </si>
  <si>
    <t>Coffe Maker</t>
  </si>
  <si>
    <t>Row Labels</t>
  </si>
  <si>
    <t>Grand Total</t>
  </si>
  <si>
    <t>Sum of Revenue</t>
  </si>
  <si>
    <t>Jan</t>
  </si>
  <si>
    <t>Feb</t>
  </si>
  <si>
    <t>Mar</t>
  </si>
  <si>
    <t>Apr</t>
  </si>
  <si>
    <t>May</t>
  </si>
  <si>
    <t>Jun</t>
  </si>
  <si>
    <t>Jul</t>
  </si>
  <si>
    <t>Aug</t>
  </si>
  <si>
    <t>Sep</t>
  </si>
  <si>
    <t>Oct</t>
  </si>
  <si>
    <t>Nov</t>
  </si>
  <si>
    <t>Dec</t>
  </si>
  <si>
    <t>Count of Order ID</t>
  </si>
  <si>
    <t>1.Revenue by Region</t>
  </si>
  <si>
    <t>2.Revenue by Product Category</t>
  </si>
  <si>
    <t>3.Revenue by Month</t>
  </si>
  <si>
    <t xml:space="preserve">4.Orders by Sales Representative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</si>
</sst>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
  </numFmts>
  <fonts count="8" x14ac:knownFonts="1">
    <font>
      <sz val="11"/>
      <color theme="1"/>
      <name val="Calibri"/>
      <family val="2"/>
      <scheme val="minor"/>
    </font>
    <font>
      <b/>
      <sz val="11"/>
      <color rgb="FFFFFFFF"/>
      <name val="Arial"/>
    </font>
    <font>
      <sz val="10"/>
      <name val="Arial"/>
    </font>
    <font>
      <b/>
      <sz val="14"/>
      <color rgb="FF2F4F8F"/>
      <name val="Arial"/>
    </font>
    <font>
      <b/>
      <sz val="11"/>
      <name val="Arial"/>
    </font>
    <font>
      <sz val="10"/>
      <color theme="1"/>
      <name val="Arial"/>
      <family val="2"/>
    </font>
    <font>
      <b/>
      <sz val="11"/>
      <color rgb="FFFFFFFF"/>
      <name val="Arial"/>
      <family val="2"/>
    </font>
    <font>
      <sz val="9.5"/>
      <color rgb="FF0D5B2E"/>
      <name val="Arial"/>
      <family val="2"/>
    </font>
  </fonts>
  <fills count="10">
    <fill>
      <patternFill patternType="none"/>
    </fill>
    <fill>
      <patternFill patternType="gray125"/>
    </fill>
    <fill>
      <patternFill patternType="solid">
        <fgColor rgb="FF2F4F8F"/>
      </patternFill>
    </fill>
    <fill>
      <patternFill patternType="solid">
        <fgColor rgb="FFF2F6FC"/>
      </patternFill>
    </fill>
    <fill>
      <patternFill patternType="solid">
        <fgColor rgb="FFFFFFFF"/>
      </patternFill>
    </fill>
    <fill>
      <patternFill patternType="solid">
        <fgColor rgb="FFFFFFFF"/>
        <bgColor indexed="64"/>
      </patternFill>
    </fill>
    <fill>
      <patternFill patternType="solid">
        <fgColor rgb="FF2F4F8F"/>
        <bgColor indexed="64"/>
      </patternFill>
    </fill>
    <fill>
      <patternFill patternType="solid">
        <fgColor rgb="FFF5F5F5"/>
        <bgColor indexed="64"/>
      </patternFill>
    </fill>
    <fill>
      <patternFill patternType="solid">
        <fgColor rgb="FFFFFF00"/>
        <bgColor indexed="64"/>
      </patternFill>
    </fill>
    <fill>
      <patternFill patternType="solid">
        <fgColor rgb="FFFFC000"/>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0">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0" fontId="3" fillId="0" borderId="0" xfId="0" applyFont="1"/>
    <xf numFmtId="0" fontId="4" fillId="0" borderId="0" xfId="0" applyFont="1"/>
    <xf numFmtId="0" fontId="2" fillId="0" borderId="0" xfId="0" applyFont="1"/>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0" fillId="0" borderId="0" xfId="0" applyNumberFormat="1"/>
    <xf numFmtId="14" fontId="5" fillId="0"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3" borderId="3"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left" vertical="center"/>
    </xf>
    <xf numFmtId="0" fontId="2" fillId="3" borderId="8" xfId="0" applyFont="1" applyFill="1" applyBorder="1" applyAlignment="1">
      <alignment horizontal="right" vertical="center"/>
    </xf>
    <xf numFmtId="164" fontId="2" fillId="3" borderId="9" xfId="0" applyNumberFormat="1" applyFont="1" applyFill="1" applyBorder="1" applyAlignment="1">
      <alignment horizontal="right" vertical="center"/>
    </xf>
    <xf numFmtId="0" fontId="6" fillId="6" borderId="5" xfId="0" applyFont="1" applyFill="1" applyBorder="1" applyAlignment="1">
      <alignment horizontal="center" vertical="center"/>
    </xf>
    <xf numFmtId="0" fontId="7" fillId="0" borderId="0" xfId="0" applyFont="1"/>
    <xf numFmtId="0" fontId="7" fillId="7" borderId="10" xfId="0" applyFont="1" applyFill="1" applyBorder="1" applyAlignment="1">
      <alignment vertical="center" wrapText="1"/>
    </xf>
    <xf numFmtId="0" fontId="7" fillId="5" borderId="10" xfId="0" applyFont="1" applyFill="1" applyBorder="1" applyAlignment="1">
      <alignment vertical="center" wrapText="1"/>
    </xf>
    <xf numFmtId="0" fontId="0" fillId="0" borderId="0" xfId="0" applyNumberFormat="1"/>
    <xf numFmtId="0" fontId="0" fillId="8" borderId="0" xfId="0" applyFill="1"/>
    <xf numFmtId="0" fontId="0" fillId="9" borderId="0" xfId="0" applyFill="1"/>
    <xf numFmtId="0" fontId="0" fillId="8" borderId="0" xfId="0" applyFill="1" applyAlignment="1">
      <alignment horizontal="center"/>
    </xf>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center"/>
    </xf>
  </cellXfs>
  <cellStyles count="1">
    <cellStyle name="Normal" xfId="0" builtinId="0"/>
  </cellStyles>
  <dxfs count="25">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164" formatCode="\₹#,##0"/>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297180</xdr:colOff>
      <xdr:row>7</xdr:row>
      <xdr:rowOff>99060</xdr:rowOff>
    </xdr:from>
    <xdr:to>
      <xdr:col>10</xdr:col>
      <xdr:colOff>297180</xdr:colOff>
      <xdr:row>21</xdr:row>
      <xdr:rowOff>5715</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E21E1003-0B76-91A6-4F5B-A93B6090B7E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89026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eyam\OneDrive\Pictures\Desktop\project.xlsx" TargetMode="External"/><Relationship Id="rId1" Type="http://schemas.openxmlformats.org/officeDocument/2006/relationships/externalLinkPath" Target="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table"/>
      <sheetName val="summary"/>
      <sheetName val="Sheet1"/>
    </sheetNames>
    <sheetDataSet>
      <sheetData sheetId="0" refreshError="1"/>
      <sheetData sheetId="1">
        <row r="1">
          <cell r="D1" t="str">
            <v>Region</v>
          </cell>
          <cell r="E1" t="str">
            <v>Product Category</v>
          </cell>
          <cell r="I1" t="str">
            <v>Revenue</v>
          </cell>
        </row>
        <row r="2">
          <cell r="D2" t="str">
            <v>North</v>
          </cell>
          <cell r="E2" t="str">
            <v>Electronics</v>
          </cell>
          <cell r="I2">
            <v>7500</v>
          </cell>
        </row>
        <row r="3">
          <cell r="D3" t="str">
            <v>South</v>
          </cell>
          <cell r="E3" t="str">
            <v>Electronics</v>
          </cell>
          <cell r="I3">
            <v>2800</v>
          </cell>
        </row>
        <row r="4">
          <cell r="D4" t="str">
            <v>South</v>
          </cell>
          <cell r="E4" t="str">
            <v>Home</v>
          </cell>
          <cell r="I4">
            <v>7150</v>
          </cell>
        </row>
        <row r="5">
          <cell r="D5" t="str">
            <v>South</v>
          </cell>
          <cell r="E5" t="str">
            <v>Home</v>
          </cell>
          <cell r="I5">
            <v>52500</v>
          </cell>
        </row>
        <row r="6">
          <cell r="D6" t="str">
            <v>North</v>
          </cell>
          <cell r="E6" t="str">
            <v>Electronics</v>
          </cell>
          <cell r="I6">
            <v>12000</v>
          </cell>
        </row>
        <row r="7">
          <cell r="D7" t="str">
            <v>South</v>
          </cell>
          <cell r="E7" t="str">
            <v>Electronics</v>
          </cell>
          <cell r="I7">
            <v>16800</v>
          </cell>
        </row>
        <row r="8">
          <cell r="D8" t="str">
            <v>South</v>
          </cell>
          <cell r="E8" t="str">
            <v>Apparel</v>
          </cell>
          <cell r="I8">
            <v>28600</v>
          </cell>
        </row>
        <row r="9">
          <cell r="D9" t="str">
            <v>North</v>
          </cell>
          <cell r="E9" t="str">
            <v>Apparel</v>
          </cell>
          <cell r="I9">
            <v>2200</v>
          </cell>
        </row>
        <row r="10">
          <cell r="D10" t="str">
            <v>South</v>
          </cell>
          <cell r="E10" t="str">
            <v>Electronics</v>
          </cell>
          <cell r="I10">
            <v>3200</v>
          </cell>
        </row>
        <row r="11">
          <cell r="D11" t="str">
            <v>South</v>
          </cell>
          <cell r="E11" t="str">
            <v>Home</v>
          </cell>
          <cell r="I11">
            <v>9100</v>
          </cell>
        </row>
        <row r="12">
          <cell r="D12" t="str">
            <v>East</v>
          </cell>
          <cell r="E12" t="str">
            <v>Home</v>
          </cell>
          <cell r="I12">
            <v>3200</v>
          </cell>
        </row>
        <row r="13">
          <cell r="D13" t="str">
            <v>South</v>
          </cell>
          <cell r="E13" t="str">
            <v>Home</v>
          </cell>
          <cell r="I13">
            <v>6400</v>
          </cell>
        </row>
        <row r="14">
          <cell r="D14" t="str">
            <v>North</v>
          </cell>
          <cell r="E14" t="str">
            <v>Electronics</v>
          </cell>
          <cell r="I14">
            <v>16800</v>
          </cell>
        </row>
        <row r="15">
          <cell r="D15" t="str">
            <v>South</v>
          </cell>
          <cell r="E15" t="str">
            <v>Home</v>
          </cell>
          <cell r="I15">
            <v>48000</v>
          </cell>
        </row>
        <row r="16">
          <cell r="D16" t="str">
            <v>West</v>
          </cell>
          <cell r="E16" t="str">
            <v>Electronics</v>
          </cell>
          <cell r="I16">
            <v>32000</v>
          </cell>
        </row>
        <row r="17">
          <cell r="D17" t="str">
            <v>South</v>
          </cell>
          <cell r="E17" t="str">
            <v>Electronics</v>
          </cell>
          <cell r="I17">
            <v>16000</v>
          </cell>
        </row>
        <row r="18">
          <cell r="D18" t="str">
            <v>South</v>
          </cell>
          <cell r="E18" t="str">
            <v>Apparel</v>
          </cell>
          <cell r="I18">
            <v>6800</v>
          </cell>
        </row>
        <row r="19">
          <cell r="D19" t="str">
            <v>West</v>
          </cell>
          <cell r="E19" t="str">
            <v>Apparel</v>
          </cell>
          <cell r="I19">
            <v>4250</v>
          </cell>
        </row>
        <row r="20">
          <cell r="D20" t="str">
            <v>South</v>
          </cell>
          <cell r="E20" t="str">
            <v>Home</v>
          </cell>
          <cell r="I20">
            <v>2850</v>
          </cell>
        </row>
        <row r="21">
          <cell r="D21" t="str">
            <v>North</v>
          </cell>
          <cell r="E21" t="str">
            <v>Home</v>
          </cell>
          <cell r="I21">
            <v>30000</v>
          </cell>
        </row>
        <row r="22">
          <cell r="D22" t="str">
            <v>South</v>
          </cell>
          <cell r="E22" t="str">
            <v>Electronics</v>
          </cell>
          <cell r="I22">
            <v>30000</v>
          </cell>
        </row>
        <row r="23">
          <cell r="D23" t="str">
            <v>East</v>
          </cell>
          <cell r="E23" t="str">
            <v>Electronics</v>
          </cell>
          <cell r="I23">
            <v>15600</v>
          </cell>
        </row>
        <row r="24">
          <cell r="D24" t="str">
            <v>East</v>
          </cell>
          <cell r="E24" t="str">
            <v>Home</v>
          </cell>
          <cell r="I24">
            <v>6400</v>
          </cell>
        </row>
        <row r="25">
          <cell r="D25" t="str">
            <v>North</v>
          </cell>
          <cell r="E25" t="str">
            <v>Electronics</v>
          </cell>
          <cell r="I25">
            <v>8500</v>
          </cell>
        </row>
        <row r="26">
          <cell r="D26" t="str">
            <v>North</v>
          </cell>
          <cell r="E26" t="str">
            <v>Electronics</v>
          </cell>
          <cell r="I26">
            <v>14000</v>
          </cell>
        </row>
        <row r="27">
          <cell r="D27" t="str">
            <v>South</v>
          </cell>
          <cell r="E27" t="str">
            <v>Apparel</v>
          </cell>
          <cell r="I27">
            <v>1800</v>
          </cell>
        </row>
        <row r="28">
          <cell r="D28" t="str">
            <v>South</v>
          </cell>
          <cell r="E28" t="str">
            <v>Electronics</v>
          </cell>
          <cell r="I28">
            <v>30800</v>
          </cell>
        </row>
        <row r="29">
          <cell r="D29" t="str">
            <v>South</v>
          </cell>
          <cell r="E29" t="str">
            <v>Apparel</v>
          </cell>
          <cell r="I29">
            <v>9000</v>
          </cell>
        </row>
        <row r="30">
          <cell r="D30" t="str">
            <v>East</v>
          </cell>
          <cell r="E30" t="str">
            <v>Apparel</v>
          </cell>
          <cell r="I30">
            <v>28600</v>
          </cell>
        </row>
        <row r="31">
          <cell r="D31" t="str">
            <v>East</v>
          </cell>
          <cell r="E31" t="str">
            <v>Apparel</v>
          </cell>
          <cell r="I31">
            <v>5400</v>
          </cell>
        </row>
        <row r="32">
          <cell r="D32" t="str">
            <v>South</v>
          </cell>
          <cell r="E32" t="str">
            <v>Electronics</v>
          </cell>
          <cell r="I32">
            <v>19600</v>
          </cell>
        </row>
        <row r="33">
          <cell r="D33" t="str">
            <v>South</v>
          </cell>
          <cell r="E33" t="str">
            <v>Home</v>
          </cell>
          <cell r="I33">
            <v>7500</v>
          </cell>
        </row>
        <row r="34">
          <cell r="D34" t="str">
            <v>East</v>
          </cell>
          <cell r="E34" t="str">
            <v>Electronics</v>
          </cell>
          <cell r="I34">
            <v>20000</v>
          </cell>
        </row>
        <row r="35">
          <cell r="D35" t="str">
            <v>South</v>
          </cell>
          <cell r="E35" t="str">
            <v>Home</v>
          </cell>
          <cell r="I35">
            <v>15000</v>
          </cell>
        </row>
        <row r="36">
          <cell r="D36" t="str">
            <v>South</v>
          </cell>
          <cell r="E36" t="str">
            <v>Electronics</v>
          </cell>
          <cell r="I36">
            <v>9600</v>
          </cell>
        </row>
        <row r="37">
          <cell r="D37" t="str">
            <v>South</v>
          </cell>
          <cell r="E37" t="str">
            <v>Home</v>
          </cell>
          <cell r="I37">
            <v>38400</v>
          </cell>
        </row>
        <row r="38">
          <cell r="D38" t="str">
            <v>South</v>
          </cell>
          <cell r="E38" t="str">
            <v>Electronics</v>
          </cell>
          <cell r="I38">
            <v>14000</v>
          </cell>
        </row>
        <row r="39">
          <cell r="D39" t="str">
            <v>South</v>
          </cell>
          <cell r="E39" t="str">
            <v>Electronics</v>
          </cell>
          <cell r="I39">
            <v>93500</v>
          </cell>
        </row>
        <row r="40">
          <cell r="D40" t="str">
            <v>North</v>
          </cell>
          <cell r="E40" t="str">
            <v>Electronics</v>
          </cell>
          <cell r="I40">
            <v>76500</v>
          </cell>
        </row>
        <row r="41">
          <cell r="D41" t="str">
            <v>West</v>
          </cell>
          <cell r="E41" t="str">
            <v>Home</v>
          </cell>
          <cell r="I41">
            <v>97500</v>
          </cell>
        </row>
        <row r="42">
          <cell r="D42" t="str">
            <v>South</v>
          </cell>
          <cell r="E42" t="str">
            <v>Home</v>
          </cell>
          <cell r="I42">
            <v>11400</v>
          </cell>
        </row>
        <row r="43">
          <cell r="D43" t="str">
            <v>North</v>
          </cell>
          <cell r="E43" t="str">
            <v>Electronics</v>
          </cell>
          <cell r="I43">
            <v>13200</v>
          </cell>
        </row>
        <row r="44">
          <cell r="D44" t="str">
            <v>South</v>
          </cell>
          <cell r="E44" t="str">
            <v>Home</v>
          </cell>
          <cell r="I44">
            <v>1300</v>
          </cell>
        </row>
        <row r="45">
          <cell r="D45" t="str">
            <v>West</v>
          </cell>
          <cell r="E45" t="str">
            <v>Home</v>
          </cell>
          <cell r="I45">
            <v>13500</v>
          </cell>
        </row>
        <row r="46">
          <cell r="D46" t="str">
            <v>South</v>
          </cell>
          <cell r="E46" t="str">
            <v>Electronics</v>
          </cell>
          <cell r="I46">
            <v>22400</v>
          </cell>
        </row>
        <row r="47">
          <cell r="D47" t="str">
            <v>North</v>
          </cell>
          <cell r="E47" t="str">
            <v>Apparel</v>
          </cell>
          <cell r="I47">
            <v>4400</v>
          </cell>
        </row>
        <row r="48">
          <cell r="D48" t="str">
            <v>North</v>
          </cell>
          <cell r="E48" t="str">
            <v>Apparel</v>
          </cell>
          <cell r="I48">
            <v>18200</v>
          </cell>
        </row>
        <row r="49">
          <cell r="D49" t="str">
            <v>North</v>
          </cell>
          <cell r="E49" t="str">
            <v>Apparel</v>
          </cell>
          <cell r="I49">
            <v>16500</v>
          </cell>
        </row>
        <row r="50">
          <cell r="D50" t="str">
            <v>South</v>
          </cell>
          <cell r="E50" t="str">
            <v>Electronics</v>
          </cell>
          <cell r="I50">
            <v>9600</v>
          </cell>
        </row>
        <row r="51">
          <cell r="D51" t="str">
            <v>North</v>
          </cell>
          <cell r="E51" t="str">
            <v>Electronics</v>
          </cell>
          <cell r="I51">
            <v>51000</v>
          </cell>
        </row>
        <row r="52">
          <cell r="D52" t="str">
            <v>North</v>
          </cell>
          <cell r="E52" t="str">
            <v>Home</v>
          </cell>
          <cell r="I52">
            <v>13300</v>
          </cell>
        </row>
        <row r="53">
          <cell r="D53" t="str">
            <v>North</v>
          </cell>
          <cell r="E53" t="str">
            <v>Electronics</v>
          </cell>
          <cell r="I53">
            <v>102000</v>
          </cell>
        </row>
        <row r="54">
          <cell r="D54" t="str">
            <v>South</v>
          </cell>
          <cell r="E54" t="str">
            <v>Apparel</v>
          </cell>
          <cell r="I54">
            <v>11000</v>
          </cell>
        </row>
        <row r="55">
          <cell r="D55" t="str">
            <v>South</v>
          </cell>
          <cell r="E55" t="str">
            <v>Electronics</v>
          </cell>
          <cell r="I55">
            <v>27500</v>
          </cell>
        </row>
        <row r="56">
          <cell r="D56" t="str">
            <v>East</v>
          </cell>
          <cell r="E56" t="str">
            <v>Electronics</v>
          </cell>
          <cell r="I56">
            <v>27500</v>
          </cell>
        </row>
        <row r="57">
          <cell r="D57" t="str">
            <v>South</v>
          </cell>
          <cell r="E57" t="str">
            <v>Electronics</v>
          </cell>
          <cell r="I57">
            <v>14000</v>
          </cell>
        </row>
        <row r="58">
          <cell r="D58" t="str">
            <v>North</v>
          </cell>
          <cell r="E58" t="str">
            <v>Electronics</v>
          </cell>
          <cell r="I58">
            <v>19200</v>
          </cell>
        </row>
        <row r="59">
          <cell r="D59" t="str">
            <v>East</v>
          </cell>
          <cell r="E59" t="str">
            <v>Electronics</v>
          </cell>
          <cell r="I59">
            <v>28800</v>
          </cell>
        </row>
        <row r="60">
          <cell r="D60" t="str">
            <v>East</v>
          </cell>
          <cell r="E60" t="str">
            <v>Apparel</v>
          </cell>
          <cell r="I60">
            <v>24200</v>
          </cell>
        </row>
        <row r="61">
          <cell r="D61" t="str">
            <v>East</v>
          </cell>
          <cell r="E61" t="str">
            <v>Home</v>
          </cell>
          <cell r="I61">
            <v>112500</v>
          </cell>
        </row>
        <row r="62">
          <cell r="D62" t="str">
            <v>South</v>
          </cell>
          <cell r="E62" t="str">
            <v>Apparel</v>
          </cell>
          <cell r="I62">
            <v>9000</v>
          </cell>
        </row>
        <row r="63">
          <cell r="D63" t="str">
            <v>North</v>
          </cell>
          <cell r="E63" t="str">
            <v>Apparel</v>
          </cell>
          <cell r="I63">
            <v>33000</v>
          </cell>
        </row>
        <row r="64">
          <cell r="D64" t="str">
            <v>East</v>
          </cell>
          <cell r="E64" t="str">
            <v>Electronics</v>
          </cell>
          <cell r="I64">
            <v>44800</v>
          </cell>
        </row>
        <row r="65">
          <cell r="D65" t="str">
            <v>East</v>
          </cell>
          <cell r="E65" t="str">
            <v>Apparel</v>
          </cell>
          <cell r="I65">
            <v>18000</v>
          </cell>
        </row>
        <row r="66">
          <cell r="D66" t="str">
            <v>East</v>
          </cell>
          <cell r="E66" t="str">
            <v>Home</v>
          </cell>
          <cell r="I66">
            <v>15000</v>
          </cell>
        </row>
        <row r="67">
          <cell r="D67" t="str">
            <v>North</v>
          </cell>
          <cell r="E67" t="str">
            <v>Home</v>
          </cell>
          <cell r="I67">
            <v>4550</v>
          </cell>
        </row>
        <row r="68">
          <cell r="D68" t="str">
            <v>South</v>
          </cell>
          <cell r="E68" t="str">
            <v>Electronics</v>
          </cell>
          <cell r="I68">
            <v>25600</v>
          </cell>
        </row>
        <row r="69">
          <cell r="D69" t="str">
            <v>South</v>
          </cell>
          <cell r="E69" t="str">
            <v>Electronics</v>
          </cell>
          <cell r="I69">
            <v>19600</v>
          </cell>
        </row>
        <row r="70">
          <cell r="D70" t="str">
            <v>South</v>
          </cell>
          <cell r="E70" t="str">
            <v>Apparel</v>
          </cell>
          <cell r="I70">
            <v>850</v>
          </cell>
        </row>
        <row r="71">
          <cell r="D71" t="str">
            <v>North</v>
          </cell>
          <cell r="E71" t="str">
            <v>Electronics</v>
          </cell>
          <cell r="I71">
            <v>25600</v>
          </cell>
        </row>
        <row r="72">
          <cell r="D72" t="str">
            <v>North</v>
          </cell>
          <cell r="E72" t="str">
            <v>Apparel</v>
          </cell>
          <cell r="I72">
            <v>18000</v>
          </cell>
        </row>
        <row r="73">
          <cell r="D73" t="str">
            <v>North</v>
          </cell>
          <cell r="E73" t="str">
            <v>Home</v>
          </cell>
          <cell r="I73">
            <v>22400</v>
          </cell>
        </row>
        <row r="74">
          <cell r="D74" t="str">
            <v>West</v>
          </cell>
          <cell r="E74" t="str">
            <v>Apparel</v>
          </cell>
          <cell r="I74">
            <v>1100</v>
          </cell>
        </row>
        <row r="75">
          <cell r="D75" t="str">
            <v>North</v>
          </cell>
          <cell r="E75" t="str">
            <v>Apparel</v>
          </cell>
          <cell r="I75">
            <v>7000</v>
          </cell>
        </row>
        <row r="76">
          <cell r="D76" t="str">
            <v>North</v>
          </cell>
          <cell r="E76" t="str">
            <v>Apparel</v>
          </cell>
          <cell r="I76">
            <v>26400</v>
          </cell>
        </row>
        <row r="77">
          <cell r="D77" t="str">
            <v>North</v>
          </cell>
          <cell r="E77" t="str">
            <v>Electronics</v>
          </cell>
          <cell r="I77">
            <v>16800</v>
          </cell>
        </row>
        <row r="78">
          <cell r="D78" t="str">
            <v>North</v>
          </cell>
          <cell r="E78" t="str">
            <v>Electronics</v>
          </cell>
          <cell r="I78">
            <v>5000</v>
          </cell>
        </row>
        <row r="79">
          <cell r="D79" t="str">
            <v>South</v>
          </cell>
          <cell r="E79" t="str">
            <v>Apparel</v>
          </cell>
          <cell r="I79">
            <v>26400</v>
          </cell>
        </row>
        <row r="80">
          <cell r="D80" t="str">
            <v>East</v>
          </cell>
          <cell r="E80" t="str">
            <v>Electronics</v>
          </cell>
          <cell r="I80">
            <v>34000</v>
          </cell>
        </row>
        <row r="81">
          <cell r="D81" t="str">
            <v>North</v>
          </cell>
          <cell r="E81" t="str">
            <v>Home</v>
          </cell>
          <cell r="I81">
            <v>650</v>
          </cell>
        </row>
        <row r="82">
          <cell r="D82" t="str">
            <v>North</v>
          </cell>
          <cell r="E82" t="str">
            <v>Electronics</v>
          </cell>
          <cell r="I82">
            <v>5600</v>
          </cell>
        </row>
        <row r="83">
          <cell r="D83" t="str">
            <v>North</v>
          </cell>
          <cell r="E83" t="str">
            <v>Home</v>
          </cell>
          <cell r="I83">
            <v>52500</v>
          </cell>
        </row>
        <row r="84">
          <cell r="D84" t="str">
            <v>South</v>
          </cell>
          <cell r="E84" t="str">
            <v>Electronics</v>
          </cell>
          <cell r="I84">
            <v>102000</v>
          </cell>
        </row>
        <row r="85">
          <cell r="D85" t="str">
            <v>East</v>
          </cell>
          <cell r="E85" t="str">
            <v>Apparel</v>
          </cell>
          <cell r="I85">
            <v>2800</v>
          </cell>
        </row>
        <row r="86">
          <cell r="D86" t="str">
            <v>South</v>
          </cell>
          <cell r="E86" t="str">
            <v>Electronics</v>
          </cell>
          <cell r="I86">
            <v>8500</v>
          </cell>
        </row>
        <row r="87">
          <cell r="D87" t="str">
            <v>West</v>
          </cell>
          <cell r="E87" t="str">
            <v>Home</v>
          </cell>
          <cell r="I87">
            <v>4500</v>
          </cell>
        </row>
        <row r="88">
          <cell r="D88" t="str">
            <v>East</v>
          </cell>
          <cell r="E88" t="str">
            <v>Apparel</v>
          </cell>
          <cell r="I88">
            <v>13200</v>
          </cell>
        </row>
        <row r="89">
          <cell r="D89" t="str">
            <v>South</v>
          </cell>
          <cell r="E89" t="str">
            <v>Home</v>
          </cell>
          <cell r="I89">
            <v>35200</v>
          </cell>
        </row>
        <row r="90">
          <cell r="D90" t="str">
            <v>East</v>
          </cell>
          <cell r="E90" t="str">
            <v>Apparel</v>
          </cell>
          <cell r="I90">
            <v>5600</v>
          </cell>
        </row>
        <row r="91">
          <cell r="D91" t="str">
            <v>West</v>
          </cell>
          <cell r="E91" t="str">
            <v>Home</v>
          </cell>
          <cell r="I91">
            <v>25600</v>
          </cell>
        </row>
        <row r="92">
          <cell r="D92" t="str">
            <v>East</v>
          </cell>
          <cell r="E92" t="str">
            <v>Electronics</v>
          </cell>
          <cell r="I92">
            <v>34000</v>
          </cell>
        </row>
        <row r="93">
          <cell r="D93" t="str">
            <v>South</v>
          </cell>
          <cell r="E93" t="str">
            <v>Apparel</v>
          </cell>
          <cell r="I93">
            <v>2800</v>
          </cell>
        </row>
        <row r="94">
          <cell r="D94" t="str">
            <v>South</v>
          </cell>
          <cell r="E94" t="str">
            <v>Electronics</v>
          </cell>
          <cell r="I94">
            <v>14000</v>
          </cell>
        </row>
        <row r="95">
          <cell r="D95" t="str">
            <v>West</v>
          </cell>
          <cell r="E95" t="str">
            <v>Home</v>
          </cell>
          <cell r="I95">
            <v>105000</v>
          </cell>
        </row>
        <row r="96">
          <cell r="D96" t="str">
            <v>North</v>
          </cell>
          <cell r="E96" t="str">
            <v>Electronics</v>
          </cell>
          <cell r="I96">
            <v>76500</v>
          </cell>
        </row>
        <row r="97">
          <cell r="D97" t="str">
            <v>West</v>
          </cell>
          <cell r="E97" t="str">
            <v>Apparel</v>
          </cell>
          <cell r="I97">
            <v>10800</v>
          </cell>
        </row>
        <row r="98">
          <cell r="D98" t="str">
            <v>North</v>
          </cell>
          <cell r="E98" t="str">
            <v>Electronics</v>
          </cell>
          <cell r="I98">
            <v>28800</v>
          </cell>
        </row>
        <row r="99">
          <cell r="D99" t="str">
            <v>West</v>
          </cell>
          <cell r="E99" t="str">
            <v>Home</v>
          </cell>
          <cell r="I99">
            <v>25600</v>
          </cell>
        </row>
        <row r="100">
          <cell r="D100" t="str">
            <v>North</v>
          </cell>
          <cell r="E100" t="str">
            <v>Electronics</v>
          </cell>
          <cell r="I100">
            <v>20000</v>
          </cell>
        </row>
        <row r="101">
          <cell r="D101" t="str">
            <v>West</v>
          </cell>
          <cell r="E101" t="str">
            <v>Electronics</v>
          </cell>
          <cell r="I101">
            <v>76500</v>
          </cell>
        </row>
        <row r="102">
          <cell r="D102" t="str">
            <v>West</v>
          </cell>
          <cell r="E102" t="str">
            <v>Electronics</v>
          </cell>
          <cell r="I102">
            <v>42000</v>
          </cell>
        </row>
        <row r="103">
          <cell r="D103" t="str">
            <v>North</v>
          </cell>
          <cell r="E103" t="str">
            <v>Home</v>
          </cell>
          <cell r="I103">
            <v>16000</v>
          </cell>
        </row>
        <row r="104">
          <cell r="D104" t="str">
            <v>North</v>
          </cell>
          <cell r="E104" t="str">
            <v>Home</v>
          </cell>
          <cell r="I104">
            <v>3900</v>
          </cell>
        </row>
        <row r="105">
          <cell r="D105" t="str">
            <v>West</v>
          </cell>
          <cell r="E105" t="str">
            <v>Home</v>
          </cell>
          <cell r="I105">
            <v>1300</v>
          </cell>
        </row>
        <row r="106">
          <cell r="D106" t="str">
            <v>North</v>
          </cell>
          <cell r="E106" t="str">
            <v>Home</v>
          </cell>
          <cell r="I106">
            <v>44800</v>
          </cell>
        </row>
        <row r="107">
          <cell r="D107" t="str">
            <v>South</v>
          </cell>
          <cell r="E107" t="str">
            <v>Apparel</v>
          </cell>
          <cell r="I107">
            <v>14000</v>
          </cell>
        </row>
        <row r="108">
          <cell r="D108" t="str">
            <v>East</v>
          </cell>
          <cell r="E108" t="str">
            <v>Electronics</v>
          </cell>
          <cell r="I108">
            <v>16800</v>
          </cell>
        </row>
        <row r="109">
          <cell r="D109" t="str">
            <v>West</v>
          </cell>
          <cell r="E109" t="str">
            <v>Electronics</v>
          </cell>
          <cell r="I109">
            <v>59500</v>
          </cell>
        </row>
        <row r="110">
          <cell r="D110" t="str">
            <v>South</v>
          </cell>
          <cell r="E110" t="str">
            <v>Electronics</v>
          </cell>
          <cell r="I110">
            <v>25200</v>
          </cell>
        </row>
        <row r="111">
          <cell r="D111" t="str">
            <v>South</v>
          </cell>
          <cell r="E111" t="str">
            <v>Home</v>
          </cell>
          <cell r="I111">
            <v>5850</v>
          </cell>
        </row>
        <row r="112">
          <cell r="D112" t="str">
            <v>East</v>
          </cell>
          <cell r="E112" t="str">
            <v>Apparel</v>
          </cell>
          <cell r="I112">
            <v>2550</v>
          </cell>
        </row>
        <row r="113">
          <cell r="D113" t="str">
            <v>West</v>
          </cell>
          <cell r="E113" t="str">
            <v>Home</v>
          </cell>
          <cell r="I113">
            <v>44800</v>
          </cell>
        </row>
        <row r="114">
          <cell r="D114" t="str">
            <v>West</v>
          </cell>
          <cell r="E114" t="str">
            <v>Home</v>
          </cell>
          <cell r="I114">
            <v>1500</v>
          </cell>
        </row>
        <row r="115">
          <cell r="D115" t="str">
            <v>South</v>
          </cell>
          <cell r="E115" t="str">
            <v>Home</v>
          </cell>
          <cell r="I115">
            <v>105000</v>
          </cell>
        </row>
        <row r="116">
          <cell r="D116" t="str">
            <v>West</v>
          </cell>
          <cell r="E116" t="str">
            <v>Electronics</v>
          </cell>
          <cell r="I116">
            <v>119000</v>
          </cell>
        </row>
        <row r="117">
          <cell r="D117" t="str">
            <v>South</v>
          </cell>
          <cell r="E117" t="str">
            <v>Electronics</v>
          </cell>
          <cell r="I117">
            <v>5000</v>
          </cell>
        </row>
        <row r="118">
          <cell r="D118" t="str">
            <v>West</v>
          </cell>
          <cell r="E118" t="str">
            <v>Apparel</v>
          </cell>
          <cell r="I118">
            <v>22000</v>
          </cell>
        </row>
        <row r="119">
          <cell r="D119" t="str">
            <v>North</v>
          </cell>
          <cell r="E119" t="str">
            <v>Apparel</v>
          </cell>
          <cell r="I119">
            <v>23400</v>
          </cell>
        </row>
        <row r="120">
          <cell r="D120" t="str">
            <v>South</v>
          </cell>
          <cell r="E120" t="str">
            <v>Home</v>
          </cell>
          <cell r="I120">
            <v>48000</v>
          </cell>
        </row>
        <row r="121">
          <cell r="D121" t="str">
            <v>North</v>
          </cell>
          <cell r="E121" t="str">
            <v>Home</v>
          </cell>
          <cell r="I121">
            <v>7150</v>
          </cell>
        </row>
        <row r="122">
          <cell r="D122" t="str">
            <v>North</v>
          </cell>
          <cell r="E122" t="str">
            <v>Electronics</v>
          </cell>
          <cell r="I122">
            <v>22400</v>
          </cell>
        </row>
        <row r="123">
          <cell r="D123" t="str">
            <v>North</v>
          </cell>
          <cell r="E123" t="str">
            <v>Electronics</v>
          </cell>
          <cell r="I123">
            <v>4800</v>
          </cell>
        </row>
        <row r="124">
          <cell r="D124" t="str">
            <v>East</v>
          </cell>
          <cell r="E124" t="str">
            <v>Electronics</v>
          </cell>
          <cell r="I124">
            <v>2400</v>
          </cell>
        </row>
        <row r="125">
          <cell r="D125" t="str">
            <v>North</v>
          </cell>
          <cell r="E125" t="str">
            <v>Apparel</v>
          </cell>
          <cell r="I125">
            <v>9000</v>
          </cell>
        </row>
        <row r="126">
          <cell r="D126" t="str">
            <v>West</v>
          </cell>
          <cell r="E126" t="str">
            <v>Home</v>
          </cell>
          <cell r="I126">
            <v>45000</v>
          </cell>
        </row>
        <row r="127">
          <cell r="D127" t="str">
            <v>South</v>
          </cell>
          <cell r="E127" t="str">
            <v>Electronics</v>
          </cell>
          <cell r="I127">
            <v>25200</v>
          </cell>
        </row>
        <row r="128">
          <cell r="D128" t="str">
            <v>West</v>
          </cell>
          <cell r="E128" t="str">
            <v>Apparel</v>
          </cell>
          <cell r="I128">
            <v>3600</v>
          </cell>
        </row>
        <row r="129">
          <cell r="D129" t="str">
            <v>North</v>
          </cell>
          <cell r="E129" t="str">
            <v>Electronics</v>
          </cell>
          <cell r="I129">
            <v>5000</v>
          </cell>
        </row>
        <row r="130">
          <cell r="D130" t="str">
            <v>East</v>
          </cell>
          <cell r="E130" t="str">
            <v>Home</v>
          </cell>
          <cell r="I130">
            <v>41600</v>
          </cell>
        </row>
        <row r="131">
          <cell r="D131" t="str">
            <v>South</v>
          </cell>
          <cell r="E131" t="str">
            <v>Apparel</v>
          </cell>
          <cell r="I131">
            <v>9900</v>
          </cell>
        </row>
        <row r="132">
          <cell r="D132" t="str">
            <v>North</v>
          </cell>
          <cell r="E132" t="str">
            <v>Home</v>
          </cell>
          <cell r="I132">
            <v>48000</v>
          </cell>
        </row>
        <row r="133">
          <cell r="D133" t="str">
            <v>South</v>
          </cell>
          <cell r="E133" t="str">
            <v>Home</v>
          </cell>
          <cell r="I133">
            <v>16500</v>
          </cell>
        </row>
        <row r="134">
          <cell r="D134" t="str">
            <v>North</v>
          </cell>
          <cell r="E134" t="str">
            <v>Apparel</v>
          </cell>
          <cell r="I134">
            <v>25200</v>
          </cell>
        </row>
        <row r="135">
          <cell r="D135" t="str">
            <v>North</v>
          </cell>
          <cell r="E135" t="str">
            <v>Apparel</v>
          </cell>
          <cell r="I135">
            <v>12750</v>
          </cell>
        </row>
        <row r="136">
          <cell r="D136" t="str">
            <v>South</v>
          </cell>
          <cell r="E136" t="str">
            <v>Home</v>
          </cell>
          <cell r="I136">
            <v>7600</v>
          </cell>
        </row>
        <row r="137">
          <cell r="D137" t="str">
            <v>North</v>
          </cell>
          <cell r="E137" t="str">
            <v>Apparel</v>
          </cell>
          <cell r="I137">
            <v>16800</v>
          </cell>
        </row>
        <row r="138">
          <cell r="D138" t="str">
            <v>South</v>
          </cell>
          <cell r="E138" t="str">
            <v>Electronics</v>
          </cell>
          <cell r="I138">
            <v>19200</v>
          </cell>
        </row>
        <row r="139">
          <cell r="D139" t="str">
            <v>South</v>
          </cell>
          <cell r="E139" t="str">
            <v>Electronics</v>
          </cell>
          <cell r="I139">
            <v>10800</v>
          </cell>
        </row>
        <row r="140">
          <cell r="D140" t="str">
            <v>North</v>
          </cell>
          <cell r="E140" t="str">
            <v>Home</v>
          </cell>
          <cell r="I140">
            <v>1950</v>
          </cell>
        </row>
        <row r="141">
          <cell r="D141" t="str">
            <v>North</v>
          </cell>
          <cell r="E141" t="str">
            <v>Apparel</v>
          </cell>
          <cell r="I141">
            <v>7000</v>
          </cell>
        </row>
        <row r="142">
          <cell r="D142" t="str">
            <v>North</v>
          </cell>
          <cell r="E142" t="str">
            <v>Home</v>
          </cell>
          <cell r="I142">
            <v>105000</v>
          </cell>
        </row>
        <row r="143">
          <cell r="D143" t="str">
            <v>North</v>
          </cell>
          <cell r="E143" t="str">
            <v>Home</v>
          </cell>
          <cell r="I143">
            <v>1900</v>
          </cell>
        </row>
        <row r="144">
          <cell r="D144" t="str">
            <v>South</v>
          </cell>
          <cell r="E144" t="str">
            <v>Electronics</v>
          </cell>
          <cell r="I144">
            <v>8400</v>
          </cell>
        </row>
        <row r="145">
          <cell r="D145" t="str">
            <v>North</v>
          </cell>
          <cell r="E145" t="str">
            <v>Electronics</v>
          </cell>
          <cell r="I145">
            <v>25000</v>
          </cell>
        </row>
        <row r="146">
          <cell r="D146" t="str">
            <v>South</v>
          </cell>
          <cell r="E146" t="str">
            <v>Electronics</v>
          </cell>
          <cell r="I146">
            <v>14000</v>
          </cell>
        </row>
        <row r="147">
          <cell r="D147" t="str">
            <v>East</v>
          </cell>
          <cell r="E147" t="str">
            <v>Home</v>
          </cell>
          <cell r="I147">
            <v>41600</v>
          </cell>
        </row>
        <row r="148">
          <cell r="D148" t="str">
            <v>East</v>
          </cell>
          <cell r="E148" t="str">
            <v>Home</v>
          </cell>
          <cell r="I148">
            <v>44800</v>
          </cell>
        </row>
        <row r="149">
          <cell r="D149" t="str">
            <v>North</v>
          </cell>
          <cell r="E149" t="str">
            <v>Home</v>
          </cell>
          <cell r="I149">
            <v>7500</v>
          </cell>
        </row>
        <row r="150">
          <cell r="D150" t="str">
            <v>South</v>
          </cell>
          <cell r="E150" t="str">
            <v>Home</v>
          </cell>
          <cell r="I150">
            <v>1900</v>
          </cell>
        </row>
        <row r="151">
          <cell r="D151" t="str">
            <v>East</v>
          </cell>
          <cell r="E151" t="str">
            <v>Home</v>
          </cell>
          <cell r="I151">
            <v>112500</v>
          </cell>
        </row>
        <row r="152">
          <cell r="D152" t="str">
            <v>North</v>
          </cell>
          <cell r="E152" t="str">
            <v>Home</v>
          </cell>
          <cell r="I152">
            <v>10500</v>
          </cell>
        </row>
        <row r="153">
          <cell r="D153" t="str">
            <v>East</v>
          </cell>
          <cell r="E153" t="str">
            <v>Apparel</v>
          </cell>
          <cell r="I153">
            <v>25200</v>
          </cell>
        </row>
        <row r="154">
          <cell r="D154" t="str">
            <v>South</v>
          </cell>
          <cell r="E154" t="str">
            <v>Apparel</v>
          </cell>
          <cell r="I154">
            <v>4400</v>
          </cell>
        </row>
        <row r="155">
          <cell r="D155" t="str">
            <v>South</v>
          </cell>
          <cell r="E155" t="str">
            <v>Home</v>
          </cell>
          <cell r="I155">
            <v>9500</v>
          </cell>
        </row>
        <row r="156">
          <cell r="D156" t="str">
            <v>South</v>
          </cell>
          <cell r="E156" t="str">
            <v>Home</v>
          </cell>
          <cell r="I156">
            <v>32000</v>
          </cell>
        </row>
        <row r="157">
          <cell r="D157" t="str">
            <v>North</v>
          </cell>
          <cell r="E157" t="str">
            <v>Apparel</v>
          </cell>
          <cell r="I157">
            <v>9350</v>
          </cell>
        </row>
        <row r="158">
          <cell r="D158" t="str">
            <v>South</v>
          </cell>
          <cell r="E158" t="str">
            <v>Home</v>
          </cell>
          <cell r="I158">
            <v>22500</v>
          </cell>
        </row>
        <row r="159">
          <cell r="D159" t="str">
            <v>North</v>
          </cell>
          <cell r="E159" t="str">
            <v>Apparel</v>
          </cell>
          <cell r="I159">
            <v>6600</v>
          </cell>
        </row>
        <row r="160">
          <cell r="D160" t="str">
            <v>West</v>
          </cell>
          <cell r="E160" t="str">
            <v>Home</v>
          </cell>
          <cell r="I160">
            <v>3900</v>
          </cell>
        </row>
        <row r="161">
          <cell r="D161" t="str">
            <v>South</v>
          </cell>
          <cell r="E161" t="str">
            <v>Electronics</v>
          </cell>
          <cell r="I161">
            <v>44800</v>
          </cell>
        </row>
        <row r="162">
          <cell r="D162" t="str">
            <v>North</v>
          </cell>
          <cell r="E162" t="str">
            <v>Electronics</v>
          </cell>
          <cell r="I162">
            <v>51000</v>
          </cell>
        </row>
        <row r="163">
          <cell r="D163" t="str">
            <v>South</v>
          </cell>
          <cell r="E163" t="str">
            <v>Home</v>
          </cell>
          <cell r="I163">
            <v>5700</v>
          </cell>
        </row>
        <row r="164">
          <cell r="D164" t="str">
            <v>North</v>
          </cell>
          <cell r="E164" t="str">
            <v>Apparel</v>
          </cell>
          <cell r="I164">
            <v>16800</v>
          </cell>
        </row>
        <row r="165">
          <cell r="D165" t="str">
            <v>East</v>
          </cell>
          <cell r="E165" t="str">
            <v>Electronics</v>
          </cell>
          <cell r="I165">
            <v>12000</v>
          </cell>
        </row>
        <row r="166">
          <cell r="D166" t="str">
            <v>North</v>
          </cell>
          <cell r="E166" t="str">
            <v>Home</v>
          </cell>
          <cell r="I166">
            <v>60000</v>
          </cell>
        </row>
        <row r="167">
          <cell r="D167" t="str">
            <v>East</v>
          </cell>
          <cell r="E167" t="str">
            <v>Apparel</v>
          </cell>
          <cell r="I167">
            <v>10200</v>
          </cell>
        </row>
        <row r="168">
          <cell r="D168" t="str">
            <v>South</v>
          </cell>
          <cell r="E168" t="str">
            <v>Apparel</v>
          </cell>
          <cell r="I168">
            <v>8800</v>
          </cell>
        </row>
        <row r="169">
          <cell r="D169" t="str">
            <v>South</v>
          </cell>
          <cell r="E169" t="str">
            <v>Electronics</v>
          </cell>
          <cell r="I169">
            <v>12000</v>
          </cell>
        </row>
        <row r="170">
          <cell r="D170" t="str">
            <v>South</v>
          </cell>
          <cell r="E170" t="str">
            <v>Electronics</v>
          </cell>
          <cell r="I170">
            <v>5000</v>
          </cell>
        </row>
        <row r="171">
          <cell r="D171" t="str">
            <v>South</v>
          </cell>
          <cell r="E171" t="str">
            <v>Electronics</v>
          </cell>
          <cell r="I171">
            <v>110500</v>
          </cell>
        </row>
        <row r="172">
          <cell r="D172" t="str">
            <v>North</v>
          </cell>
          <cell r="E172" t="str">
            <v>Home</v>
          </cell>
          <cell r="I172">
            <v>4550</v>
          </cell>
        </row>
        <row r="173">
          <cell r="D173" t="str">
            <v>West</v>
          </cell>
          <cell r="E173" t="str">
            <v>Home</v>
          </cell>
          <cell r="I173">
            <v>28800</v>
          </cell>
        </row>
        <row r="174">
          <cell r="D174" t="str">
            <v>South</v>
          </cell>
          <cell r="E174" t="str">
            <v>Apparel</v>
          </cell>
          <cell r="I174">
            <v>33000</v>
          </cell>
        </row>
        <row r="175">
          <cell r="D175" t="str">
            <v>North</v>
          </cell>
          <cell r="E175" t="str">
            <v>Electronics</v>
          </cell>
          <cell r="I175">
            <v>18000</v>
          </cell>
        </row>
        <row r="176">
          <cell r="D176" t="str">
            <v>North</v>
          </cell>
          <cell r="E176" t="str">
            <v>Home</v>
          </cell>
          <cell r="I176">
            <v>19200</v>
          </cell>
        </row>
        <row r="177">
          <cell r="D177" t="str">
            <v>North</v>
          </cell>
          <cell r="E177" t="str">
            <v>Apparel</v>
          </cell>
          <cell r="I177">
            <v>6600</v>
          </cell>
        </row>
        <row r="178">
          <cell r="D178" t="str">
            <v>South</v>
          </cell>
          <cell r="E178" t="str">
            <v>Electronics</v>
          </cell>
          <cell r="I178">
            <v>18000</v>
          </cell>
        </row>
        <row r="179">
          <cell r="D179" t="str">
            <v>East</v>
          </cell>
          <cell r="E179" t="str">
            <v>Apparel</v>
          </cell>
          <cell r="I179">
            <v>6800</v>
          </cell>
        </row>
        <row r="180">
          <cell r="D180" t="str">
            <v>North</v>
          </cell>
          <cell r="E180" t="str">
            <v>Home</v>
          </cell>
          <cell r="I180">
            <v>9100</v>
          </cell>
        </row>
        <row r="181">
          <cell r="D181" t="str">
            <v>South</v>
          </cell>
          <cell r="E181" t="str">
            <v>Home</v>
          </cell>
          <cell r="I181">
            <v>22500</v>
          </cell>
        </row>
      </sheetData>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aran" refreshedDate="46230.806648032405" createdVersion="8" refreshedVersion="8" minRefreshableVersion="3" recordCount="180" xr:uid="{B4B609FA-E39B-43CD-AF9F-FC2E792181D4}">
  <cacheSource type="worksheet">
    <worksheetSource name="Table1"/>
  </cacheSource>
  <cacheFields count="13">
    <cacheField name="Order ID" numFmtId="0">
      <sharedItems containsSemiMixedTypes="0" containsString="0" containsNumber="1" containsInteger="1" minValue="1001" maxValue="1180"/>
    </cacheField>
    <cacheField name="Order Date" numFmtId="14">
      <sharedItems containsDate="1" containsMixedTypes="1" minDate="2024-01-07T00:00:00" maxDate="2024-12-31T00:00:00"/>
    </cacheField>
    <cacheField name="Sales Rep" numFmtId="0">
      <sharedItems count="6">
        <s v="Meera"/>
        <s v="Rohan"/>
        <s v="Suresh"/>
        <s v="Ananya"/>
        <s v="Priya"/>
        <s v="Kiran"/>
      </sharedItems>
    </cacheField>
    <cacheField name="Region" numFmtId="0">
      <sharedItems count="4">
        <s v="North"/>
        <s v="South"/>
        <s v="East"/>
        <s v="West"/>
      </sharedItems>
    </cacheField>
    <cacheField name="Product Category" numFmtId="0">
      <sharedItems count="3">
        <s v="Electronics"/>
        <s v="Home"/>
        <s v="Apparel"/>
      </sharedItems>
    </cacheField>
    <cacheField name="Product Name" numFmtId="0">
      <sharedItems/>
    </cacheField>
    <cacheField name="Qty Sold" numFmtId="0">
      <sharedItems containsSemiMixedTypes="0" containsString="0" containsNumber="1" containsInteger="1" minValue="1" maxValue="15"/>
    </cacheField>
    <cacheField name="Unit Price (₹)" numFmtId="164">
      <sharedItems containsSemiMixedTypes="0" containsString="0" containsNumber="1" containsInteger="1" minValue="650" maxValue="8500"/>
    </cacheField>
    <cacheField name="Revenue" numFmtId="0">
      <sharedItems containsSemiMixedTypes="0" containsString="0" containsNumber="1" containsInteger="1" minValue="650" maxValue="119000"/>
    </cacheField>
    <cacheField name="Profit" numFmtId="0">
      <sharedItems containsSemiMixedTypes="0" containsString="0" containsNumber="1" containsInteger="1" minValue="130" maxValue="23800"/>
    </cacheField>
    <cacheField name="Month" numFmtId="0">
      <sharedItems count="12">
        <s v="Aug"/>
        <s v="Feb"/>
        <s v="Dec"/>
        <s v="Oct"/>
        <s v="Jul"/>
        <s v="May"/>
        <s v="Apr"/>
        <s v="Jun"/>
        <s v="Mar"/>
        <s v="Sep"/>
        <s v="Nov"/>
        <s v="Jan"/>
      </sharedItems>
    </cacheField>
    <cacheField name="Quarter" numFmtId="0">
      <sharedItems/>
    </cacheField>
    <cacheField name="Flag" numFmtId="0">
      <sharedItems/>
    </cacheField>
  </cacheFields>
  <extLst>
    <ext xmlns:x14="http://schemas.microsoft.com/office/spreadsheetml/2009/9/main" uri="{725AE2AE-9491-48be-B2B4-4EB974FC3084}">
      <x14:pivotCacheDefinition pivotCacheId="93116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001"/>
    <d v="2024-08-04T00:00:00"/>
    <x v="0"/>
    <x v="0"/>
    <x v="0"/>
    <s v="Wireless Earbuds"/>
    <n v="3"/>
    <n v="2500"/>
    <n v="7500"/>
    <n v="1500"/>
    <x v="0"/>
    <s v="Q3"/>
    <s v="Normal"/>
  </r>
  <r>
    <n v="1002"/>
    <d v="2024-02-09T00:00:00"/>
    <x v="1"/>
    <x v="1"/>
    <x v="0"/>
    <s v="Webcam"/>
    <n v="1"/>
    <n v="2800"/>
    <n v="2800"/>
    <n v="560"/>
    <x v="1"/>
    <s v="Q1"/>
    <s v="Normal"/>
  </r>
  <r>
    <n v="1003"/>
    <d v="2024-12-22T00:00:00"/>
    <x v="1"/>
    <x v="1"/>
    <x v="1"/>
    <s v="Wall Clock"/>
    <n v="11"/>
    <n v="650"/>
    <n v="7150"/>
    <n v="1430"/>
    <x v="2"/>
    <s v="Q4"/>
    <s v="Normal"/>
  </r>
  <r>
    <n v="1004"/>
    <d v="2024-10-26T00:00:00"/>
    <x v="1"/>
    <x v="1"/>
    <x v="1"/>
    <s v="Air Purifier"/>
    <n v="7"/>
    <n v="7500"/>
    <n v="52500"/>
    <n v="10500"/>
    <x v="3"/>
    <s v="Q4"/>
    <s v="High Value"/>
  </r>
  <r>
    <n v="1005"/>
    <d v="2024-07-26T00:00:00"/>
    <x v="0"/>
    <x v="0"/>
    <x v="0"/>
    <s v="USB Hub"/>
    <n v="10"/>
    <n v="1200"/>
    <n v="12000"/>
    <n v="2400"/>
    <x v="4"/>
    <s v="Q3"/>
    <s v="High Value"/>
  </r>
  <r>
    <n v="1006"/>
    <d v="2024-05-14T00:00:00"/>
    <x v="2"/>
    <x v="1"/>
    <x v="0"/>
    <s v="USB Hub"/>
    <n v="14"/>
    <n v="1200"/>
    <n v="16800"/>
    <n v="3360"/>
    <x v="5"/>
    <s v="Q2"/>
    <s v="High Value"/>
  </r>
  <r>
    <n v="1007"/>
    <d v="2024-12-03T00:00:00"/>
    <x v="2"/>
    <x v="1"/>
    <x v="2"/>
    <s v="Sports Shoes"/>
    <n v="13"/>
    <n v="2200"/>
    <n v="28600"/>
    <n v="5720"/>
    <x v="2"/>
    <s v="Q4"/>
    <s v="High Value"/>
  </r>
  <r>
    <n v="1008"/>
    <d v="2024-04-03T00:00:00"/>
    <x v="3"/>
    <x v="0"/>
    <x v="2"/>
    <s v="Kurta Set"/>
    <n v="2"/>
    <n v="1100"/>
    <n v="2200"/>
    <n v="440"/>
    <x v="6"/>
    <s v="Q2"/>
    <s v="Normal"/>
  </r>
  <r>
    <n v="1009"/>
    <d v="2024-07-17T00:00:00"/>
    <x v="1"/>
    <x v="1"/>
    <x v="0"/>
    <s v="Bluetooth Speaker"/>
    <n v="1"/>
    <n v="3200"/>
    <n v="3200"/>
    <n v="640"/>
    <x v="4"/>
    <s v="Q3"/>
    <s v="Normal"/>
  </r>
  <r>
    <n v="1010"/>
    <d v="2024-07-31T00:00:00"/>
    <x v="1"/>
    <x v="1"/>
    <x v="1"/>
    <s v="Wall Clock"/>
    <n v="14"/>
    <n v="650"/>
    <n v="9100"/>
    <n v="1820"/>
    <x v="4"/>
    <s v="Q3"/>
    <s v="Normal"/>
  </r>
  <r>
    <n v="1011"/>
    <d v="2024-02-12T00:00:00"/>
    <x v="4"/>
    <x v="2"/>
    <x v="1"/>
    <s v="Coffee Maker"/>
    <n v="1"/>
    <n v="3200"/>
    <n v="3200"/>
    <n v="640"/>
    <x v="1"/>
    <s v="Q1"/>
    <s v="Normal"/>
  </r>
  <r>
    <n v="1012"/>
    <d v="2024-06-16T00:00:00"/>
    <x v="2"/>
    <x v="1"/>
    <x v="1"/>
    <s v="Coffee Maker"/>
    <n v="2"/>
    <n v="3200"/>
    <n v="6400"/>
    <n v="1280"/>
    <x v="7"/>
    <s v="Q2"/>
    <s v="Normal"/>
  </r>
  <r>
    <n v="1013"/>
    <d v="2024-03-04T00:00:00"/>
    <x v="0"/>
    <x v="0"/>
    <x v="0"/>
    <s v="USB Hub"/>
    <n v="14"/>
    <n v="1200"/>
    <n v="16800"/>
    <n v="3360"/>
    <x v="8"/>
    <s v="Q1"/>
    <s v="High Value"/>
  </r>
  <r>
    <n v="1014"/>
    <d v="2024-06-25T00:00:00"/>
    <x v="2"/>
    <x v="1"/>
    <x v="1"/>
    <s v="Coffee Maker"/>
    <n v="15"/>
    <n v="3200"/>
    <n v="48000"/>
    <n v="9600"/>
    <x v="7"/>
    <s v="Q2"/>
    <s v="High Value"/>
  </r>
  <r>
    <n v="1015"/>
    <d v="2024-05-21T00:00:00"/>
    <x v="5"/>
    <x v="3"/>
    <x v="0"/>
    <s v="Bluetooth Speaker"/>
    <n v="10"/>
    <n v="3200"/>
    <n v="32000"/>
    <n v="6400"/>
    <x v="5"/>
    <s v="Q2"/>
    <s v="High Value"/>
  </r>
  <r>
    <n v="1016"/>
    <d v="2024-06-19T00:00:00"/>
    <x v="2"/>
    <x v="1"/>
    <x v="0"/>
    <s v="Bluetooth Speaker"/>
    <n v="5"/>
    <n v="3200"/>
    <n v="16000"/>
    <n v="3200"/>
    <x v="7"/>
    <s v="Q2"/>
    <s v="High Value"/>
  </r>
  <r>
    <n v="1017"/>
    <d v="2024-04-02T00:00:00"/>
    <x v="2"/>
    <x v="1"/>
    <x v="2"/>
    <s v="Cotton Shirt"/>
    <n v="8"/>
    <n v="850"/>
    <n v="6800"/>
    <n v="1360"/>
    <x v="6"/>
    <s v="Q2"/>
    <s v="Normal"/>
  </r>
  <r>
    <n v="1018"/>
    <d v="2024-08-28T00:00:00"/>
    <x v="5"/>
    <x v="3"/>
    <x v="2"/>
    <s v="Cotton Shirt"/>
    <n v="5"/>
    <n v="850"/>
    <n v="4250"/>
    <n v="850"/>
    <x v="0"/>
    <s v="Q3"/>
    <s v="Normal"/>
  </r>
  <r>
    <n v="1019"/>
    <d v="2024-05-06T00:00:00"/>
    <x v="2"/>
    <x v="1"/>
    <x v="1"/>
    <s v="Table Lamp"/>
    <n v="3"/>
    <n v="950"/>
    <n v="2850"/>
    <n v="570"/>
    <x v="5"/>
    <s v="Q2"/>
    <s v="Normal"/>
  </r>
  <r>
    <n v="1020"/>
    <d v="2024-05-03T00:00:00"/>
    <x v="0"/>
    <x v="0"/>
    <x v="1"/>
    <s v="Air Purifier"/>
    <n v="4"/>
    <n v="7500"/>
    <n v="30000"/>
    <n v="6000"/>
    <x v="5"/>
    <s v="Q2"/>
    <s v="High Value"/>
  </r>
  <r>
    <n v="1021"/>
    <d v="2024-08-29T00:00:00"/>
    <x v="1"/>
    <x v="1"/>
    <x v="0"/>
    <s v="Wireless Earbuds"/>
    <n v="12"/>
    <n v="2500"/>
    <n v="30000"/>
    <n v="6000"/>
    <x v="0"/>
    <s v="Q3"/>
    <s v="High Value"/>
  </r>
  <r>
    <n v="1022"/>
    <d v="2024-07-31T00:00:00"/>
    <x v="4"/>
    <x v="2"/>
    <x v="0"/>
    <s v="USB Hub"/>
    <n v="13"/>
    <n v="1200"/>
    <n v="15600"/>
    <n v="3120"/>
    <x v="4"/>
    <s v="Q3"/>
    <s v="High Value"/>
  </r>
  <r>
    <n v="1023"/>
    <d v="2024-02-13T00:00:00"/>
    <x v="4"/>
    <x v="2"/>
    <x v="1"/>
    <s v="Coffee Maker"/>
    <n v="2"/>
    <n v="3200"/>
    <n v="6400"/>
    <n v="1280"/>
    <x v="1"/>
    <s v="Q1"/>
    <s v="Normal"/>
  </r>
  <r>
    <n v="1024"/>
    <d v="2024-05-27T00:00:00"/>
    <x v="3"/>
    <x v="0"/>
    <x v="0"/>
    <s v="Smart Watch"/>
    <n v="1"/>
    <n v="8500"/>
    <n v="8500"/>
    <n v="1700"/>
    <x v="5"/>
    <s v="Q2"/>
    <s v="Normal"/>
  </r>
  <r>
    <n v="1025"/>
    <d v="2024-12-05T00:00:00"/>
    <x v="3"/>
    <x v="0"/>
    <x v="0"/>
    <s v="Webcam"/>
    <n v="5"/>
    <n v="2800"/>
    <n v="14000"/>
    <n v="2800"/>
    <x v="2"/>
    <s v="Q4"/>
    <s v="High Value"/>
  </r>
  <r>
    <n v="1026"/>
    <d v="2024-04-17T00:00:00"/>
    <x v="2"/>
    <x v="1"/>
    <x v="2"/>
    <s v="Denim Jacket"/>
    <n v="1"/>
    <n v="1800"/>
    <n v="1800"/>
    <n v="360"/>
    <x v="6"/>
    <s v="Q2"/>
    <s v="Normal"/>
  </r>
  <r>
    <n v="1027"/>
    <d v="2024-03-25T00:00:00"/>
    <x v="2"/>
    <x v="1"/>
    <x v="0"/>
    <s v="Webcam"/>
    <n v="11"/>
    <n v="2800"/>
    <n v="30800"/>
    <n v="6160"/>
    <x v="8"/>
    <s v="Q1"/>
    <s v="High Value"/>
  </r>
  <r>
    <n v="1028"/>
    <d v="2024-04-11T00:00:00"/>
    <x v="1"/>
    <x v="1"/>
    <x v="2"/>
    <s v="Denim Jacket"/>
    <n v="5"/>
    <n v="1800"/>
    <n v="9000"/>
    <n v="1800"/>
    <x v="6"/>
    <s v="Q2"/>
    <s v="Normal"/>
  </r>
  <r>
    <n v="1029"/>
    <d v="2024-12-23T00:00:00"/>
    <x v="4"/>
    <x v="2"/>
    <x v="2"/>
    <s v="Sports Shoes"/>
    <n v="13"/>
    <n v="2200"/>
    <n v="28600"/>
    <n v="5720"/>
    <x v="2"/>
    <s v="Q4"/>
    <s v="High Value"/>
  </r>
  <r>
    <n v="1030"/>
    <d v="2024-06-08T00:00:00"/>
    <x v="4"/>
    <x v="2"/>
    <x v="2"/>
    <s v="Denim Jacket"/>
    <n v="3"/>
    <n v="1800"/>
    <n v="5400"/>
    <n v="1080"/>
    <x v="7"/>
    <s v="Q2"/>
    <s v="Normal"/>
  </r>
  <r>
    <n v="1031"/>
    <d v="2024-09-21T00:00:00"/>
    <x v="2"/>
    <x v="1"/>
    <x v="0"/>
    <s v="Webcam"/>
    <n v="7"/>
    <n v="2800"/>
    <n v="19600"/>
    <n v="3920"/>
    <x v="9"/>
    <s v="Q3"/>
    <s v="High Value"/>
  </r>
  <r>
    <n v="1032"/>
    <d v="2024-05-16T00:00:00"/>
    <x v="1"/>
    <x v="1"/>
    <x v="1"/>
    <s v="Air Purifier"/>
    <n v="1"/>
    <n v="7500"/>
    <n v="7500"/>
    <n v="1500"/>
    <x v="5"/>
    <s v="Q2"/>
    <s v="Normal"/>
  </r>
  <r>
    <n v="1033"/>
    <d v="2024-07-28T00:00:00"/>
    <x v="4"/>
    <x v="2"/>
    <x v="0"/>
    <s v="Wireless Earbuds"/>
    <n v="8"/>
    <n v="2500"/>
    <n v="20000"/>
    <n v="4000"/>
    <x v="4"/>
    <s v="Q3"/>
    <s v="High Value"/>
  </r>
  <r>
    <n v="1034"/>
    <d v="2024-07-03T00:00:00"/>
    <x v="1"/>
    <x v="1"/>
    <x v="1"/>
    <s v="Non-stick Pan"/>
    <n v="10"/>
    <n v="1500"/>
    <n v="15000"/>
    <n v="3000"/>
    <x v="4"/>
    <s v="Q3"/>
    <s v="High Value"/>
  </r>
  <r>
    <n v="1035"/>
    <d v="2024-11-20T00:00:00"/>
    <x v="2"/>
    <x v="1"/>
    <x v="0"/>
    <s v="USB Hub"/>
    <n v="8"/>
    <n v="1200"/>
    <n v="9600"/>
    <n v="1920"/>
    <x v="10"/>
    <s v="Q4"/>
    <s v="Normal"/>
  </r>
  <r>
    <n v="1036"/>
    <d v="2024-04-22T00:00:00"/>
    <x v="1"/>
    <x v="1"/>
    <x v="1"/>
    <s v="Coffee Maker"/>
    <n v="12"/>
    <n v="3200"/>
    <n v="38400"/>
    <n v="7680"/>
    <x v="6"/>
    <s v="Q2"/>
    <s v="High Value"/>
  </r>
  <r>
    <n v="1037"/>
    <d v="2024-10-13T00:00:00"/>
    <x v="2"/>
    <x v="1"/>
    <x v="0"/>
    <s v="Webcam"/>
    <n v="5"/>
    <n v="2800"/>
    <n v="14000"/>
    <n v="2800"/>
    <x v="3"/>
    <s v="Q4"/>
    <s v="High Value"/>
  </r>
  <r>
    <n v="1038"/>
    <d v="2024-04-08T00:00:00"/>
    <x v="2"/>
    <x v="1"/>
    <x v="0"/>
    <s v="Smart Watch"/>
    <n v="11"/>
    <n v="8500"/>
    <n v="93500"/>
    <n v="18700"/>
    <x v="6"/>
    <s v="Q2"/>
    <s v="High Value"/>
  </r>
  <r>
    <n v="1039"/>
    <d v="2024-09-25T00:00:00"/>
    <x v="0"/>
    <x v="0"/>
    <x v="0"/>
    <s v="Smart Watch"/>
    <n v="9"/>
    <n v="8500"/>
    <n v="76500"/>
    <n v="15300"/>
    <x v="9"/>
    <s v="Q3"/>
    <s v="High Value"/>
  </r>
  <r>
    <n v="1040"/>
    <d v="2024-10-07T00:00:00"/>
    <x v="5"/>
    <x v="3"/>
    <x v="1"/>
    <s v="Air Purifier"/>
    <n v="13"/>
    <n v="7500"/>
    <n v="97500"/>
    <n v="19500"/>
    <x v="3"/>
    <s v="Q4"/>
    <s v="High Value"/>
  </r>
  <r>
    <n v="1041"/>
    <d v="2024-03-05T00:00:00"/>
    <x v="2"/>
    <x v="1"/>
    <x v="1"/>
    <s v="Table Lamp"/>
    <n v="12"/>
    <n v="950"/>
    <n v="11400"/>
    <n v="2280"/>
    <x v="8"/>
    <s v="Q1"/>
    <s v="High Value"/>
  </r>
  <r>
    <n v="1042"/>
    <d v="2024-11-04T00:00:00"/>
    <x v="0"/>
    <x v="0"/>
    <x v="0"/>
    <s v="USB Hub"/>
    <n v="11"/>
    <n v="1200"/>
    <n v="13200"/>
    <n v="2640"/>
    <x v="10"/>
    <s v="Q4"/>
    <s v="High Value"/>
  </r>
  <r>
    <n v="1043"/>
    <d v="2024-11-22T00:00:00"/>
    <x v="1"/>
    <x v="1"/>
    <x v="1"/>
    <s v="Wall Clock"/>
    <n v="2"/>
    <n v="650"/>
    <n v="1300"/>
    <n v="260"/>
    <x v="10"/>
    <s v="Q4"/>
    <s v="Normal"/>
  </r>
  <r>
    <n v="1044"/>
    <d v="2024-01-08T00:00:00"/>
    <x v="5"/>
    <x v="3"/>
    <x v="1"/>
    <s v="Non-stick Pan"/>
    <n v="9"/>
    <n v="1500"/>
    <n v="13500"/>
    <n v="2700"/>
    <x v="11"/>
    <s v="Q1"/>
    <s v="High Value"/>
  </r>
  <r>
    <n v="1045"/>
    <d v="2024-03-23T00:00:00"/>
    <x v="2"/>
    <x v="1"/>
    <x v="0"/>
    <s v="Bluetooth Speaker"/>
    <n v="7"/>
    <n v="3200"/>
    <n v="22400"/>
    <n v="4480"/>
    <x v="8"/>
    <s v="Q1"/>
    <s v="High Value"/>
  </r>
  <r>
    <n v="1046"/>
    <d v="2024-03-10T00:00:00"/>
    <x v="3"/>
    <x v="0"/>
    <x v="2"/>
    <s v="Kurta Set"/>
    <n v="4"/>
    <n v="1100"/>
    <n v="4400"/>
    <n v="880"/>
    <x v="8"/>
    <s v="Q1"/>
    <s v="Normal"/>
  </r>
  <r>
    <n v="1047"/>
    <d v="2024-07-12T00:00:00"/>
    <x v="0"/>
    <x v="0"/>
    <x v="2"/>
    <s v="Formal Trousers"/>
    <n v="13"/>
    <n v="1400"/>
    <n v="18200"/>
    <n v="3640"/>
    <x v="4"/>
    <s v="Q3"/>
    <s v="High Value"/>
  </r>
  <r>
    <n v="1048"/>
    <d v="2024-09-07T00:00:00"/>
    <x v="3"/>
    <x v="0"/>
    <x v="2"/>
    <s v="Kurta Set"/>
    <n v="15"/>
    <n v="1100"/>
    <n v="16500"/>
    <n v="3300"/>
    <x v="9"/>
    <s v="Q3"/>
    <s v="High Value"/>
  </r>
  <r>
    <n v="1049"/>
    <d v="2024-10-05T00:00:00"/>
    <x v="2"/>
    <x v="1"/>
    <x v="0"/>
    <s v="Bluetooth Speaker"/>
    <n v="3"/>
    <n v="3200"/>
    <n v="9600"/>
    <n v="1920"/>
    <x v="3"/>
    <s v="Q4"/>
    <s v="Normal"/>
  </r>
  <r>
    <n v="1050"/>
    <d v="2024-11-28T00:00:00"/>
    <x v="0"/>
    <x v="0"/>
    <x v="0"/>
    <s v="Smart Watch"/>
    <n v="6"/>
    <n v="8500"/>
    <n v="51000"/>
    <n v="10200"/>
    <x v="10"/>
    <s v="Q4"/>
    <s v="High Value"/>
  </r>
  <r>
    <n v="1051"/>
    <d v="2024-02-28T00:00:00"/>
    <x v="0"/>
    <x v="0"/>
    <x v="1"/>
    <s v="Table Lamp"/>
    <n v="14"/>
    <n v="950"/>
    <n v="13300"/>
    <n v="2660"/>
    <x v="1"/>
    <s v="Q1"/>
    <s v="High Value"/>
  </r>
  <r>
    <n v="1052"/>
    <d v="2024-10-04T00:00:00"/>
    <x v="3"/>
    <x v="0"/>
    <x v="0"/>
    <s v="Smart Watch"/>
    <n v="12"/>
    <n v="8500"/>
    <n v="102000"/>
    <n v="20400"/>
    <x v="3"/>
    <s v="Q4"/>
    <s v="High Value"/>
  </r>
  <r>
    <n v="1053"/>
    <d v="2024-09-13T00:00:00"/>
    <x v="1"/>
    <x v="1"/>
    <x v="2"/>
    <s v="Kurta Set"/>
    <n v="10"/>
    <n v="1100"/>
    <n v="11000"/>
    <n v="2200"/>
    <x v="9"/>
    <s v="Q3"/>
    <s v="High Value"/>
  </r>
  <r>
    <n v="1054"/>
    <d v="2024-10-04T00:00:00"/>
    <x v="1"/>
    <x v="1"/>
    <x v="0"/>
    <s v="Wireless Earbuds"/>
    <n v="11"/>
    <n v="2500"/>
    <n v="27500"/>
    <n v="5500"/>
    <x v="3"/>
    <s v="Q4"/>
    <s v="High Value"/>
  </r>
  <r>
    <n v="1055"/>
    <d v="2024-07-23T00:00:00"/>
    <x v="4"/>
    <x v="2"/>
    <x v="0"/>
    <s v="Wireless Earbuds"/>
    <n v="11"/>
    <n v="2500"/>
    <n v="27500"/>
    <n v="5500"/>
    <x v="4"/>
    <s v="Q3"/>
    <s v="High Value"/>
  </r>
  <r>
    <n v="1056"/>
    <d v="2024-11-03T00:00:00"/>
    <x v="2"/>
    <x v="1"/>
    <x v="0"/>
    <s v="Webcam"/>
    <n v="5"/>
    <n v="2800"/>
    <n v="14000"/>
    <n v="2800"/>
    <x v="10"/>
    <s v="Q4"/>
    <s v="High Value"/>
  </r>
  <r>
    <n v="1057"/>
    <d v="2024-04-18T00:00:00"/>
    <x v="3"/>
    <x v="0"/>
    <x v="0"/>
    <s v="Bluetooth Speaker"/>
    <n v="6"/>
    <n v="3200"/>
    <n v="19200"/>
    <n v="3840"/>
    <x v="6"/>
    <s v="Q2"/>
    <s v="High Value"/>
  </r>
  <r>
    <n v="1058"/>
    <d v="2024-01-08T00:00:00"/>
    <x v="4"/>
    <x v="2"/>
    <x v="0"/>
    <s v="Bluetooth Speaker"/>
    <n v="9"/>
    <n v="3200"/>
    <n v="28800"/>
    <n v="5760"/>
    <x v="11"/>
    <s v="Q1"/>
    <s v="High Value"/>
  </r>
  <r>
    <n v="1059"/>
    <d v="2024-01-30T00:00:00"/>
    <x v="4"/>
    <x v="2"/>
    <x v="2"/>
    <s v="Sports Shoes"/>
    <n v="11"/>
    <n v="2200"/>
    <n v="24200"/>
    <n v="4840"/>
    <x v="11"/>
    <s v="Q1"/>
    <s v="High Value"/>
  </r>
  <r>
    <n v="1060"/>
    <d v="2024-09-25T00:00:00"/>
    <x v="4"/>
    <x v="2"/>
    <x v="1"/>
    <s v="Air Purifier"/>
    <n v="15"/>
    <n v="7500"/>
    <n v="112500"/>
    <n v="22500"/>
    <x v="9"/>
    <s v="Q3"/>
    <s v="High Value"/>
  </r>
  <r>
    <n v="1061"/>
    <d v="2024-11-11T00:00:00"/>
    <x v="2"/>
    <x v="1"/>
    <x v="2"/>
    <s v="Denim Jacket"/>
    <n v="5"/>
    <n v="1800"/>
    <n v="9000"/>
    <n v="1800"/>
    <x v="10"/>
    <s v="Q4"/>
    <s v="Normal"/>
  </r>
  <r>
    <n v="1062"/>
    <d v="2024-05-24T00:00:00"/>
    <x v="0"/>
    <x v="0"/>
    <x v="2"/>
    <s v="Sports Shoes"/>
    <n v="15"/>
    <n v="2200"/>
    <n v="33000"/>
    <n v="6600"/>
    <x v="5"/>
    <s v="Q2"/>
    <s v="High Value"/>
  </r>
  <r>
    <n v="1063"/>
    <d v="2024-08-19T00:00:00"/>
    <x v="4"/>
    <x v="2"/>
    <x v="0"/>
    <s v="Bluetooth Speaker"/>
    <n v="14"/>
    <n v="3200"/>
    <n v="44800"/>
    <n v="8960"/>
    <x v="0"/>
    <s v="Q3"/>
    <s v="High Value"/>
  </r>
  <r>
    <n v="1064"/>
    <d v="2024-07-29T00:00:00"/>
    <x v="4"/>
    <x v="2"/>
    <x v="2"/>
    <s v="Denim Jacket"/>
    <n v="10"/>
    <n v="1800"/>
    <n v="18000"/>
    <n v="3600"/>
    <x v="4"/>
    <s v="Q3"/>
    <s v="High Value"/>
  </r>
  <r>
    <n v="1065"/>
    <d v="2024-09-24T00:00:00"/>
    <x v="4"/>
    <x v="2"/>
    <x v="1"/>
    <s v="Air Purifier"/>
    <n v="2"/>
    <n v="7500"/>
    <n v="15000"/>
    <n v="3000"/>
    <x v="9"/>
    <s v="Q3"/>
    <s v="High Value"/>
  </r>
  <r>
    <n v="1066"/>
    <d v="2024-07-04T00:00:00"/>
    <x v="0"/>
    <x v="0"/>
    <x v="1"/>
    <s v="Wall Clock"/>
    <n v="7"/>
    <n v="650"/>
    <n v="4550"/>
    <n v="910"/>
    <x v="4"/>
    <s v="Q3"/>
    <s v="Normal"/>
  </r>
  <r>
    <n v="1067"/>
    <d v="2024-06-14T00:00:00"/>
    <x v="1"/>
    <x v="1"/>
    <x v="0"/>
    <s v="Bluetooth Speaker"/>
    <n v="8"/>
    <n v="3200"/>
    <n v="25600"/>
    <n v="5120"/>
    <x v="7"/>
    <s v="Q2"/>
    <s v="High Value"/>
  </r>
  <r>
    <n v="1068"/>
    <d v="2024-09-23T00:00:00"/>
    <x v="1"/>
    <x v="1"/>
    <x v="0"/>
    <s v="Webcam"/>
    <n v="7"/>
    <n v="2800"/>
    <n v="19600"/>
    <n v="3920"/>
    <x v="9"/>
    <s v="Q3"/>
    <s v="High Value"/>
  </r>
  <r>
    <n v="1069"/>
    <d v="2024-08-09T00:00:00"/>
    <x v="1"/>
    <x v="1"/>
    <x v="2"/>
    <s v="Cotton Shirt"/>
    <n v="1"/>
    <n v="850"/>
    <n v="850"/>
    <n v="170"/>
    <x v="0"/>
    <s v="Q3"/>
    <s v="Normal"/>
  </r>
  <r>
    <n v="1070"/>
    <d v="2024-08-26T00:00:00"/>
    <x v="0"/>
    <x v="0"/>
    <x v="0"/>
    <s v="Bluetooth Speaker"/>
    <n v="8"/>
    <n v="3200"/>
    <n v="25600"/>
    <n v="5120"/>
    <x v="0"/>
    <s v="Q3"/>
    <s v="High Value"/>
  </r>
  <r>
    <n v="1071"/>
    <d v="2024-07-30T00:00:00"/>
    <x v="0"/>
    <x v="0"/>
    <x v="2"/>
    <s v="Denim Jacket"/>
    <n v="10"/>
    <n v="1800"/>
    <n v="18000"/>
    <n v="3600"/>
    <x v="4"/>
    <s v="Q3"/>
    <s v="High Value"/>
  </r>
  <r>
    <n v="1072"/>
    <d v="2024-03-21T00:00:00"/>
    <x v="3"/>
    <x v="0"/>
    <x v="1"/>
    <s v="Coffee Maker"/>
    <n v="7"/>
    <n v="3200"/>
    <n v="22400"/>
    <n v="4480"/>
    <x v="8"/>
    <s v="Q1"/>
    <s v="High Value"/>
  </r>
  <r>
    <n v="1073"/>
    <d v="2024-07-03T00:00:00"/>
    <x v="5"/>
    <x v="3"/>
    <x v="2"/>
    <s v="Kurta Set"/>
    <n v="1"/>
    <n v="1100"/>
    <n v="1100"/>
    <n v="220"/>
    <x v="4"/>
    <s v="Q3"/>
    <s v="Normal"/>
  </r>
  <r>
    <n v="1074"/>
    <d v="2024-01-26T00:00:00"/>
    <x v="0"/>
    <x v="0"/>
    <x v="2"/>
    <s v="Formal Trousers"/>
    <n v="5"/>
    <n v="1400"/>
    <n v="7000"/>
    <n v="1400"/>
    <x v="11"/>
    <s v="Q1"/>
    <s v="Normal"/>
  </r>
  <r>
    <n v="1075"/>
    <d v="2024-11-27T00:00:00"/>
    <x v="3"/>
    <x v="0"/>
    <x v="2"/>
    <s v="Sports Shoes"/>
    <n v="12"/>
    <n v="2200"/>
    <n v="26400"/>
    <n v="5280"/>
    <x v="10"/>
    <s v="Q4"/>
    <s v="High Value"/>
  </r>
  <r>
    <n v="1076"/>
    <d v="2024-02-29T00:00:00"/>
    <x v="0"/>
    <x v="0"/>
    <x v="0"/>
    <s v="USB Hub"/>
    <n v="14"/>
    <n v="1200"/>
    <n v="16800"/>
    <n v="3360"/>
    <x v="1"/>
    <s v="Q1"/>
    <s v="High Value"/>
  </r>
  <r>
    <n v="1077"/>
    <d v="2024-08-30T00:00:00"/>
    <x v="0"/>
    <x v="0"/>
    <x v="0"/>
    <s v="Wireless Earbuds"/>
    <n v="2"/>
    <n v="2500"/>
    <n v="5000"/>
    <n v="1000"/>
    <x v="0"/>
    <s v="Q3"/>
    <s v="Normal"/>
  </r>
  <r>
    <n v="1078"/>
    <d v="2024-03-11T00:00:00"/>
    <x v="1"/>
    <x v="1"/>
    <x v="2"/>
    <s v="Sports Shoes"/>
    <n v="12"/>
    <n v="2200"/>
    <n v="26400"/>
    <n v="5280"/>
    <x v="8"/>
    <s v="Q1"/>
    <s v="High Value"/>
  </r>
  <r>
    <n v="1079"/>
    <d v="2024-09-14T00:00:00"/>
    <x v="4"/>
    <x v="2"/>
    <x v="0"/>
    <s v="Smart Watch"/>
    <n v="4"/>
    <n v="8500"/>
    <n v="34000"/>
    <n v="6800"/>
    <x v="9"/>
    <s v="Q3"/>
    <s v="High Value"/>
  </r>
  <r>
    <n v="1080"/>
    <s v="2024/10/29"/>
    <x v="3"/>
    <x v="0"/>
    <x v="1"/>
    <s v="Wall Clock"/>
    <n v="1"/>
    <n v="650"/>
    <n v="650"/>
    <n v="130"/>
    <x v="3"/>
    <s v="Q4"/>
    <s v="Normal"/>
  </r>
  <r>
    <n v="1081"/>
    <d v="2024-05-25T00:00:00"/>
    <x v="0"/>
    <x v="0"/>
    <x v="0"/>
    <s v="Webcam"/>
    <n v="2"/>
    <n v="2800"/>
    <n v="5600"/>
    <n v="1120"/>
    <x v="5"/>
    <s v="Q2"/>
    <s v="Normal"/>
  </r>
  <r>
    <n v="1082"/>
    <d v="2024-09-10T00:00:00"/>
    <x v="0"/>
    <x v="0"/>
    <x v="1"/>
    <s v="Air Purifier"/>
    <n v="7"/>
    <n v="7500"/>
    <n v="52500"/>
    <n v="10500"/>
    <x v="9"/>
    <s v="Q3"/>
    <s v="High Value"/>
  </r>
  <r>
    <n v="1083"/>
    <d v="2024-03-03T00:00:00"/>
    <x v="2"/>
    <x v="1"/>
    <x v="0"/>
    <s v="Smart Watch"/>
    <n v="12"/>
    <n v="8500"/>
    <n v="102000"/>
    <n v="20400"/>
    <x v="8"/>
    <s v="Q1"/>
    <s v="High Value"/>
  </r>
  <r>
    <n v="1084"/>
    <d v="2024-10-21T00:00:00"/>
    <x v="4"/>
    <x v="2"/>
    <x v="2"/>
    <s v="Formal Trousers"/>
    <n v="2"/>
    <n v="1400"/>
    <n v="2800"/>
    <n v="560"/>
    <x v="3"/>
    <s v="Q4"/>
    <s v="Normal"/>
  </r>
  <r>
    <n v="1085"/>
    <d v="2024-10-02T00:00:00"/>
    <x v="1"/>
    <x v="1"/>
    <x v="0"/>
    <s v="Smart Watch"/>
    <n v="1"/>
    <n v="8500"/>
    <n v="8500"/>
    <n v="1700"/>
    <x v="3"/>
    <s v="Q4"/>
    <s v="Normal"/>
  </r>
  <r>
    <n v="1086"/>
    <d v="2024-04-26T00:00:00"/>
    <x v="5"/>
    <x v="3"/>
    <x v="1"/>
    <s v="Non-stick Pan"/>
    <n v="3"/>
    <n v="1500"/>
    <n v="4500"/>
    <n v="900"/>
    <x v="6"/>
    <s v="Q2"/>
    <s v="Normal"/>
  </r>
  <r>
    <n v="1087"/>
    <d v="2024-01-07T00:00:00"/>
    <x v="4"/>
    <x v="2"/>
    <x v="2"/>
    <s v="Kurta Set"/>
    <n v="12"/>
    <n v="1100"/>
    <n v="13200"/>
    <n v="2640"/>
    <x v="11"/>
    <s v="Q1"/>
    <s v="High Value"/>
  </r>
  <r>
    <n v="1088"/>
    <d v="2024-01-19T00:00:00"/>
    <x v="2"/>
    <x v="1"/>
    <x v="1"/>
    <s v="Coffee Maker"/>
    <n v="11"/>
    <n v="3200"/>
    <n v="35200"/>
    <n v="7040"/>
    <x v="11"/>
    <s v="Q1"/>
    <s v="High Value"/>
  </r>
  <r>
    <n v="1089"/>
    <d v="2024-12-15T00:00:00"/>
    <x v="4"/>
    <x v="2"/>
    <x v="2"/>
    <s v="Formal Trousers"/>
    <n v="4"/>
    <n v="1400"/>
    <n v="5600"/>
    <n v="1120"/>
    <x v="2"/>
    <s v="Q4"/>
    <s v="Normal"/>
  </r>
  <r>
    <n v="1090"/>
    <d v="2024-11-30T00:00:00"/>
    <x v="5"/>
    <x v="3"/>
    <x v="1"/>
    <s v="Coffee Maker"/>
    <n v="8"/>
    <n v="3200"/>
    <n v="25600"/>
    <n v="5120"/>
    <x v="10"/>
    <s v="Q4"/>
    <s v="High Value"/>
  </r>
  <r>
    <n v="1091"/>
    <d v="2024-02-14T00:00:00"/>
    <x v="4"/>
    <x v="2"/>
    <x v="0"/>
    <s v="Smart Watch"/>
    <n v="4"/>
    <n v="8500"/>
    <n v="34000"/>
    <n v="6800"/>
    <x v="1"/>
    <s v="Q1"/>
    <s v="High Value"/>
  </r>
  <r>
    <n v="1092"/>
    <d v="2024-12-09T00:00:00"/>
    <x v="1"/>
    <x v="1"/>
    <x v="2"/>
    <s v="Formal Trousers"/>
    <n v="2"/>
    <n v="1400"/>
    <n v="2800"/>
    <n v="560"/>
    <x v="2"/>
    <s v="Q4"/>
    <s v="Normal"/>
  </r>
  <r>
    <n v="1093"/>
    <d v="2024-12-08T00:00:00"/>
    <x v="1"/>
    <x v="1"/>
    <x v="0"/>
    <s v="Webcam"/>
    <n v="5"/>
    <n v="2800"/>
    <n v="14000"/>
    <n v="2800"/>
    <x v="2"/>
    <s v="Q4"/>
    <s v="High Value"/>
  </r>
  <r>
    <n v="1094"/>
    <d v="2024-03-27T00:00:00"/>
    <x v="5"/>
    <x v="3"/>
    <x v="1"/>
    <s v="Air Purifier"/>
    <n v="14"/>
    <n v="7500"/>
    <n v="105000"/>
    <n v="21000"/>
    <x v="8"/>
    <s v="Q1"/>
    <s v="High Value"/>
  </r>
  <r>
    <n v="1095"/>
    <d v="2024-02-25T00:00:00"/>
    <x v="0"/>
    <x v="0"/>
    <x v="0"/>
    <s v="Smart Watch"/>
    <n v="9"/>
    <n v="8500"/>
    <n v="76500"/>
    <n v="15300"/>
    <x v="1"/>
    <s v="Q1"/>
    <s v="High Value"/>
  </r>
  <r>
    <n v="1096"/>
    <d v="2024-04-23T00:00:00"/>
    <x v="5"/>
    <x v="3"/>
    <x v="2"/>
    <s v="Denim Jacket"/>
    <n v="6"/>
    <n v="1800"/>
    <n v="10800"/>
    <n v="2160"/>
    <x v="6"/>
    <s v="Q2"/>
    <s v="High Value"/>
  </r>
  <r>
    <n v="1097"/>
    <d v="2024-08-30T00:00:00"/>
    <x v="0"/>
    <x v="0"/>
    <x v="0"/>
    <s v="Bluetooth Speaker"/>
    <n v="9"/>
    <n v="3200"/>
    <n v="28800"/>
    <n v="5760"/>
    <x v="0"/>
    <s v="Q3"/>
    <s v="High Value"/>
  </r>
  <r>
    <n v="1098"/>
    <d v="2024-06-05T00:00:00"/>
    <x v="5"/>
    <x v="3"/>
    <x v="1"/>
    <s v="Coffee Maker"/>
    <n v="8"/>
    <n v="3200"/>
    <n v="25600"/>
    <n v="5120"/>
    <x v="7"/>
    <s v="Q2"/>
    <s v="High Value"/>
  </r>
  <r>
    <n v="1099"/>
    <d v="2024-08-08T00:00:00"/>
    <x v="3"/>
    <x v="0"/>
    <x v="0"/>
    <s v="Wireless Earbuds"/>
    <n v="8"/>
    <n v="2500"/>
    <n v="20000"/>
    <n v="4000"/>
    <x v="0"/>
    <s v="Q3"/>
    <s v="High Value"/>
  </r>
  <r>
    <n v="1100"/>
    <d v="2024-05-08T00:00:00"/>
    <x v="5"/>
    <x v="3"/>
    <x v="0"/>
    <s v="Smart Watch"/>
    <n v="9"/>
    <n v="8500"/>
    <n v="76500"/>
    <n v="15300"/>
    <x v="5"/>
    <s v="Q2"/>
    <s v="High Value"/>
  </r>
  <r>
    <n v="1101"/>
    <d v="2024-09-30T00:00:00"/>
    <x v="5"/>
    <x v="3"/>
    <x v="0"/>
    <s v="Webcam"/>
    <n v="15"/>
    <n v="2800"/>
    <n v="42000"/>
    <n v="8400"/>
    <x v="9"/>
    <s v="Q3"/>
    <s v="High Value"/>
  </r>
  <r>
    <n v="1102"/>
    <d v="2024-10-19T00:00:00"/>
    <x v="3"/>
    <x v="0"/>
    <x v="1"/>
    <s v="Coffee Maker"/>
    <n v="5"/>
    <n v="3200"/>
    <n v="16000"/>
    <n v="3200"/>
    <x v="3"/>
    <s v="Q4"/>
    <s v="High Value"/>
  </r>
  <r>
    <n v="1103"/>
    <d v="2024-09-09T00:00:00"/>
    <x v="3"/>
    <x v="0"/>
    <x v="1"/>
    <s v="Wall Clock"/>
    <n v="6"/>
    <n v="650"/>
    <n v="3900"/>
    <n v="780"/>
    <x v="9"/>
    <s v="Q3"/>
    <s v="Normal"/>
  </r>
  <r>
    <n v="1104"/>
    <d v="2024-01-18T00:00:00"/>
    <x v="5"/>
    <x v="3"/>
    <x v="1"/>
    <s v="Wall Clock"/>
    <n v="2"/>
    <n v="650"/>
    <n v="1300"/>
    <n v="260"/>
    <x v="11"/>
    <s v="Q1"/>
    <s v="Normal"/>
  </r>
  <r>
    <n v="1105"/>
    <d v="2024-04-11T00:00:00"/>
    <x v="3"/>
    <x v="0"/>
    <x v="1"/>
    <s v="Coffee Maker"/>
    <n v="14"/>
    <n v="3200"/>
    <n v="44800"/>
    <n v="8960"/>
    <x v="6"/>
    <s v="Q2"/>
    <s v="High Value"/>
  </r>
  <r>
    <n v="1106"/>
    <d v="2024-06-08T00:00:00"/>
    <x v="2"/>
    <x v="1"/>
    <x v="2"/>
    <s v="Formal Trousers"/>
    <n v="10"/>
    <n v="1400"/>
    <n v="14000"/>
    <n v="2800"/>
    <x v="7"/>
    <s v="Q2"/>
    <s v="High Value"/>
  </r>
  <r>
    <n v="1107"/>
    <d v="2024-03-22T00:00:00"/>
    <x v="4"/>
    <x v="2"/>
    <x v="0"/>
    <s v="USB Hub"/>
    <n v="14"/>
    <n v="1200"/>
    <n v="16800"/>
    <n v="3360"/>
    <x v="8"/>
    <s v="Q1"/>
    <s v="High Value"/>
  </r>
  <r>
    <n v="1108"/>
    <d v="2024-05-27T00:00:00"/>
    <x v="5"/>
    <x v="3"/>
    <x v="0"/>
    <s v="Smart Watch"/>
    <n v="7"/>
    <n v="8500"/>
    <n v="59500"/>
    <n v="11900"/>
    <x v="5"/>
    <s v="Q2"/>
    <s v="High Value"/>
  </r>
  <r>
    <n v="1109"/>
    <d v="2024-08-23T00:00:00"/>
    <x v="1"/>
    <x v="1"/>
    <x v="0"/>
    <s v="Webcam"/>
    <n v="9"/>
    <n v="2800"/>
    <n v="25200"/>
    <n v="5040"/>
    <x v="0"/>
    <s v="Q3"/>
    <s v="High Value"/>
  </r>
  <r>
    <n v="1110"/>
    <d v="2024-02-10T00:00:00"/>
    <x v="2"/>
    <x v="1"/>
    <x v="1"/>
    <s v="Wall Clock"/>
    <n v="9"/>
    <n v="650"/>
    <n v="5850"/>
    <n v="1170"/>
    <x v="1"/>
    <s v="Q1"/>
    <s v="Normal"/>
  </r>
  <r>
    <n v="1111"/>
    <d v="2024-07-13T00:00:00"/>
    <x v="4"/>
    <x v="2"/>
    <x v="2"/>
    <s v="Cotton Shirt"/>
    <n v="3"/>
    <n v="850"/>
    <n v="2550"/>
    <n v="510"/>
    <x v="4"/>
    <s v="Q3"/>
    <s v="Normal"/>
  </r>
  <r>
    <n v="1112"/>
    <d v="2024-11-21T00:00:00"/>
    <x v="5"/>
    <x v="3"/>
    <x v="1"/>
    <s v="Coffee Maker"/>
    <n v="14"/>
    <n v="3200"/>
    <n v="44800"/>
    <n v="8960"/>
    <x v="10"/>
    <s v="Q4"/>
    <s v="High Value"/>
  </r>
  <r>
    <n v="1113"/>
    <d v="2024-08-15T00:00:00"/>
    <x v="5"/>
    <x v="3"/>
    <x v="1"/>
    <s v="Non-stick Pan"/>
    <n v="1"/>
    <n v="1500"/>
    <n v="1500"/>
    <n v="300"/>
    <x v="0"/>
    <s v="Q3"/>
    <s v="Normal"/>
  </r>
  <r>
    <n v="1114"/>
    <d v="2024-07-26T00:00:00"/>
    <x v="1"/>
    <x v="1"/>
    <x v="1"/>
    <s v="Air Purifier"/>
    <n v="14"/>
    <n v="7500"/>
    <n v="105000"/>
    <n v="21000"/>
    <x v="4"/>
    <s v="Q3"/>
    <s v="High Value"/>
  </r>
  <r>
    <n v="1115"/>
    <d v="2024-03-15T00:00:00"/>
    <x v="5"/>
    <x v="3"/>
    <x v="0"/>
    <s v="Smart Watch"/>
    <n v="14"/>
    <n v="8500"/>
    <n v="119000"/>
    <n v="23800"/>
    <x v="8"/>
    <s v="Q1"/>
    <s v="High Value"/>
  </r>
  <r>
    <n v="1116"/>
    <d v="2024-05-17T00:00:00"/>
    <x v="2"/>
    <x v="1"/>
    <x v="0"/>
    <s v="Wireless Earbuds"/>
    <n v="2"/>
    <n v="2500"/>
    <n v="5000"/>
    <n v="1000"/>
    <x v="5"/>
    <s v="Q2"/>
    <s v="Normal"/>
  </r>
  <r>
    <n v="1117"/>
    <d v="2024-12-30T00:00:00"/>
    <x v="5"/>
    <x v="3"/>
    <x v="2"/>
    <s v="Sports Shoes"/>
    <n v="10"/>
    <n v="2200"/>
    <n v="22000"/>
    <n v="4400"/>
    <x v="2"/>
    <s v="Q4"/>
    <s v="High Value"/>
  </r>
  <r>
    <n v="1118"/>
    <d v="2024-04-03T00:00:00"/>
    <x v="0"/>
    <x v="0"/>
    <x v="2"/>
    <s v="Denim Jacket"/>
    <n v="13"/>
    <n v="1800"/>
    <n v="23400"/>
    <n v="4680"/>
    <x v="6"/>
    <s v="Q2"/>
    <s v="High Value"/>
  </r>
  <r>
    <n v="1119"/>
    <d v="2024-06-13T00:00:00"/>
    <x v="2"/>
    <x v="1"/>
    <x v="1"/>
    <s v="Coffee Maker"/>
    <n v="15"/>
    <n v="3200"/>
    <n v="48000"/>
    <n v="9600"/>
    <x v="7"/>
    <s v="Q2"/>
    <s v="High Value"/>
  </r>
  <r>
    <n v="1120"/>
    <d v="2024-01-07T00:00:00"/>
    <x v="3"/>
    <x v="0"/>
    <x v="1"/>
    <s v="Wall Clock"/>
    <n v="11"/>
    <n v="650"/>
    <n v="7150"/>
    <n v="1430"/>
    <x v="11"/>
    <s v="Q1"/>
    <s v="Normal"/>
  </r>
  <r>
    <n v="1121"/>
    <d v="2024-02-18T00:00:00"/>
    <x v="3"/>
    <x v="0"/>
    <x v="0"/>
    <s v="Bluetooth Speaker"/>
    <n v="7"/>
    <n v="3200"/>
    <n v="22400"/>
    <n v="4480"/>
    <x v="1"/>
    <s v="Q1"/>
    <s v="High Value"/>
  </r>
  <r>
    <n v="1122"/>
    <d v="2024-09-17T00:00:00"/>
    <x v="3"/>
    <x v="0"/>
    <x v="0"/>
    <s v="USB Hub"/>
    <n v="4"/>
    <n v="1200"/>
    <n v="4800"/>
    <n v="960"/>
    <x v="9"/>
    <s v="Q3"/>
    <s v="Normal"/>
  </r>
  <r>
    <n v="1123"/>
    <d v="2024-08-11T00:00:00"/>
    <x v="4"/>
    <x v="2"/>
    <x v="0"/>
    <s v="USB Hub"/>
    <n v="2"/>
    <n v="1200"/>
    <n v="2400"/>
    <n v="480"/>
    <x v="0"/>
    <s v="Q3"/>
    <s v="Normal"/>
  </r>
  <r>
    <n v="1124"/>
    <d v="2024-08-05T00:00:00"/>
    <x v="3"/>
    <x v="0"/>
    <x v="2"/>
    <s v="Denim Jacket"/>
    <n v="5"/>
    <n v="1800"/>
    <n v="9000"/>
    <n v="1800"/>
    <x v="0"/>
    <s v="Q3"/>
    <s v="Normal"/>
  </r>
  <r>
    <n v="1125"/>
    <d v="2024-01-21T00:00:00"/>
    <x v="5"/>
    <x v="3"/>
    <x v="1"/>
    <s v="Air Purifier"/>
    <n v="6"/>
    <n v="7500"/>
    <n v="45000"/>
    <n v="9000"/>
    <x v="11"/>
    <s v="Q1"/>
    <s v="High Value"/>
  </r>
  <r>
    <n v="1126"/>
    <d v="2024-05-05T00:00:00"/>
    <x v="2"/>
    <x v="1"/>
    <x v="0"/>
    <s v="Webcam"/>
    <n v="9"/>
    <n v="2800"/>
    <n v="25200"/>
    <n v="5040"/>
    <x v="5"/>
    <s v="Q2"/>
    <s v="High Value"/>
  </r>
  <r>
    <n v="1127"/>
    <d v="2024-07-09T00:00:00"/>
    <x v="5"/>
    <x v="3"/>
    <x v="2"/>
    <s v="Denim Jacket"/>
    <n v="2"/>
    <n v="1800"/>
    <n v="3600"/>
    <n v="720"/>
    <x v="4"/>
    <s v="Q3"/>
    <s v="Normal"/>
  </r>
  <r>
    <n v="1128"/>
    <d v="2024-12-02T00:00:00"/>
    <x v="0"/>
    <x v="0"/>
    <x v="0"/>
    <s v="Wireless Earbuds"/>
    <n v="2"/>
    <n v="2500"/>
    <n v="5000"/>
    <n v="1000"/>
    <x v="2"/>
    <s v="Q4"/>
    <s v="Normal"/>
  </r>
  <r>
    <n v="1129"/>
    <d v="2024-06-10T00:00:00"/>
    <x v="4"/>
    <x v="2"/>
    <x v="1"/>
    <s v="Coffee Maker"/>
    <n v="13"/>
    <n v="3200"/>
    <n v="41600"/>
    <n v="8320"/>
    <x v="7"/>
    <s v="Q2"/>
    <s v="High Value"/>
  </r>
  <r>
    <n v="1130"/>
    <d v="2024-01-24T00:00:00"/>
    <x v="2"/>
    <x v="1"/>
    <x v="2"/>
    <s v="Kurta Set"/>
    <n v="9"/>
    <n v="1100"/>
    <n v="9900"/>
    <n v="1980"/>
    <x v="11"/>
    <s v="Q1"/>
    <s v="Normal"/>
  </r>
  <r>
    <n v="1131"/>
    <d v="2024-06-30T00:00:00"/>
    <x v="3"/>
    <x v="0"/>
    <x v="1"/>
    <s v="Coffee Maker"/>
    <n v="15"/>
    <n v="3200"/>
    <n v="48000"/>
    <n v="9600"/>
    <x v="7"/>
    <s v="Q2"/>
    <s v="High Value"/>
  </r>
  <r>
    <n v="1132"/>
    <d v="2024-02-05T00:00:00"/>
    <x v="2"/>
    <x v="1"/>
    <x v="1"/>
    <s v="Non-stick Pan"/>
    <n v="11"/>
    <n v="1500"/>
    <n v="16500"/>
    <n v="3300"/>
    <x v="1"/>
    <s v="Q1"/>
    <s v="High Value"/>
  </r>
  <r>
    <n v="1133"/>
    <d v="2024-12-27T00:00:00"/>
    <x v="0"/>
    <x v="0"/>
    <x v="2"/>
    <s v="Denim Jacket"/>
    <n v="14"/>
    <n v="1800"/>
    <n v="25200"/>
    <n v="5040"/>
    <x v="2"/>
    <s v="Q4"/>
    <s v="High Value"/>
  </r>
  <r>
    <n v="1134"/>
    <d v="2024-11-23T00:00:00"/>
    <x v="3"/>
    <x v="0"/>
    <x v="2"/>
    <s v="Cotton Shirt"/>
    <n v="15"/>
    <n v="850"/>
    <n v="12750"/>
    <n v="2550"/>
    <x v="10"/>
    <s v="Q4"/>
    <s v="High Value"/>
  </r>
  <r>
    <n v="1135"/>
    <d v="2024-11-04T00:00:00"/>
    <x v="2"/>
    <x v="1"/>
    <x v="1"/>
    <s v="Table Lamp"/>
    <n v="8"/>
    <n v="950"/>
    <n v="7600"/>
    <n v="1520"/>
    <x v="10"/>
    <s v="Q4"/>
    <s v="Normal"/>
  </r>
  <r>
    <n v="1136"/>
    <d v="2024-08-07T00:00:00"/>
    <x v="3"/>
    <x v="0"/>
    <x v="2"/>
    <s v="Formal Trousers"/>
    <n v="12"/>
    <n v="1400"/>
    <n v="16800"/>
    <n v="3360"/>
    <x v="0"/>
    <s v="Q3"/>
    <s v="High Value"/>
  </r>
  <r>
    <n v="1137"/>
    <d v="2024-12-11T00:00:00"/>
    <x v="2"/>
    <x v="1"/>
    <x v="0"/>
    <s v="Bluetooth Speaker"/>
    <n v="6"/>
    <n v="3200"/>
    <n v="19200"/>
    <n v="3840"/>
    <x v="2"/>
    <s v="Q4"/>
    <s v="High Value"/>
  </r>
  <r>
    <n v="1138"/>
    <d v="2024-07-09T00:00:00"/>
    <x v="1"/>
    <x v="1"/>
    <x v="0"/>
    <s v="USB Hub"/>
    <n v="9"/>
    <n v="1200"/>
    <n v="10800"/>
    <n v="2160"/>
    <x v="4"/>
    <s v="Q3"/>
    <s v="High Value"/>
  </r>
  <r>
    <n v="1139"/>
    <d v="2024-05-13T00:00:00"/>
    <x v="0"/>
    <x v="0"/>
    <x v="1"/>
    <s v="Wall Clock"/>
    <n v="3"/>
    <n v="650"/>
    <n v="1950"/>
    <n v="390"/>
    <x v="5"/>
    <s v="Q2"/>
    <s v="Normal"/>
  </r>
  <r>
    <n v="1140"/>
    <d v="2024-10-07T00:00:00"/>
    <x v="0"/>
    <x v="0"/>
    <x v="2"/>
    <s v="Formal Trousers"/>
    <n v="5"/>
    <n v="1400"/>
    <n v="7000"/>
    <n v="1400"/>
    <x v="3"/>
    <s v="Q4"/>
    <s v="Normal"/>
  </r>
  <r>
    <n v="1141"/>
    <d v="2024-05-09T00:00:00"/>
    <x v="0"/>
    <x v="0"/>
    <x v="1"/>
    <s v="Air Purifier"/>
    <n v="14"/>
    <n v="7500"/>
    <n v="105000"/>
    <n v="21000"/>
    <x v="5"/>
    <s v="Q2"/>
    <s v="High Value"/>
  </r>
  <r>
    <n v="1142"/>
    <d v="2024-04-17T00:00:00"/>
    <x v="0"/>
    <x v="0"/>
    <x v="1"/>
    <s v="Table Lamp"/>
    <n v="2"/>
    <n v="950"/>
    <n v="1900"/>
    <n v="380"/>
    <x v="6"/>
    <s v="Q2"/>
    <s v="Normal"/>
  </r>
  <r>
    <n v="1143"/>
    <d v="2024-06-03T00:00:00"/>
    <x v="2"/>
    <x v="1"/>
    <x v="0"/>
    <s v="USB Hub"/>
    <n v="7"/>
    <n v="1200"/>
    <n v="8400"/>
    <n v="1680"/>
    <x v="7"/>
    <s v="Q2"/>
    <s v="Normal"/>
  </r>
  <r>
    <n v="1144"/>
    <d v="2024-09-27T00:00:00"/>
    <x v="3"/>
    <x v="0"/>
    <x v="0"/>
    <s v="Wireless Earbuds"/>
    <n v="10"/>
    <n v="2500"/>
    <n v="25000"/>
    <n v="5000"/>
    <x v="9"/>
    <s v="Q3"/>
    <s v="High Value"/>
  </r>
  <r>
    <n v="1145"/>
    <d v="2024-04-15T00:00:00"/>
    <x v="2"/>
    <x v="1"/>
    <x v="0"/>
    <s v="Webcam"/>
    <n v="5"/>
    <n v="2800"/>
    <n v="14000"/>
    <n v="2800"/>
    <x v="6"/>
    <s v="Q2"/>
    <s v="High Value"/>
  </r>
  <r>
    <n v="1146"/>
    <d v="2024-04-05T00:00:00"/>
    <x v="4"/>
    <x v="2"/>
    <x v="1"/>
    <s v="Coffee Maker"/>
    <n v="13"/>
    <n v="3200"/>
    <n v="41600"/>
    <n v="8320"/>
    <x v="6"/>
    <s v="Q2"/>
    <s v="High Value"/>
  </r>
  <r>
    <n v="1147"/>
    <d v="2024-09-28T00:00:00"/>
    <x v="4"/>
    <x v="2"/>
    <x v="1"/>
    <s v="Coffee Maker"/>
    <n v="14"/>
    <n v="3200"/>
    <n v="44800"/>
    <n v="8960"/>
    <x v="9"/>
    <s v="Q3"/>
    <s v="High Value"/>
  </r>
  <r>
    <n v="1148"/>
    <d v="2024-08-06T00:00:00"/>
    <x v="3"/>
    <x v="0"/>
    <x v="1"/>
    <s v="Non-stick Pan"/>
    <n v="5"/>
    <n v="1500"/>
    <n v="7500"/>
    <n v="1500"/>
    <x v="0"/>
    <s v="Q3"/>
    <s v="Normal"/>
  </r>
  <r>
    <n v="1149"/>
    <d v="2024-01-22T00:00:00"/>
    <x v="2"/>
    <x v="1"/>
    <x v="1"/>
    <s v="Table Lamp"/>
    <n v="2"/>
    <n v="950"/>
    <n v="1900"/>
    <n v="380"/>
    <x v="11"/>
    <s v="Q1"/>
    <s v="Normal"/>
  </r>
  <r>
    <n v="1150"/>
    <d v="2024-11-02T00:00:00"/>
    <x v="4"/>
    <x v="2"/>
    <x v="1"/>
    <s v="Air Purifier"/>
    <n v="15"/>
    <n v="7500"/>
    <n v="112500"/>
    <n v="22500"/>
    <x v="10"/>
    <s v="Q4"/>
    <s v="High Value"/>
  </r>
  <r>
    <n v="1151"/>
    <d v="2024-09-08T00:00:00"/>
    <x v="0"/>
    <x v="0"/>
    <x v="1"/>
    <s v="Non-stick Pan"/>
    <n v="7"/>
    <n v="1500"/>
    <n v="10500"/>
    <n v="2100"/>
    <x v="9"/>
    <s v="Q3"/>
    <s v="High Value"/>
  </r>
  <r>
    <n v="1152"/>
    <d v="2024-11-11T00:00:00"/>
    <x v="4"/>
    <x v="2"/>
    <x v="2"/>
    <s v="Denim Jacket"/>
    <n v="14"/>
    <n v="1800"/>
    <n v="25200"/>
    <n v="5040"/>
    <x v="10"/>
    <s v="Q4"/>
    <s v="High Value"/>
  </r>
  <r>
    <n v="1153"/>
    <d v="2024-05-20T00:00:00"/>
    <x v="2"/>
    <x v="1"/>
    <x v="2"/>
    <s v="Sports Shoes"/>
    <n v="2"/>
    <n v="2200"/>
    <n v="4400"/>
    <n v="880"/>
    <x v="5"/>
    <s v="Q2"/>
    <s v="Normal"/>
  </r>
  <r>
    <n v="1154"/>
    <d v="2024-01-10T00:00:00"/>
    <x v="1"/>
    <x v="1"/>
    <x v="1"/>
    <s v="Table Lamp"/>
    <n v="10"/>
    <n v="950"/>
    <n v="9500"/>
    <n v="1900"/>
    <x v="11"/>
    <s v="Q1"/>
    <s v="Normal"/>
  </r>
  <r>
    <n v="1155"/>
    <d v="2024-06-01T00:00:00"/>
    <x v="1"/>
    <x v="1"/>
    <x v="1"/>
    <s v="Coffee Maker"/>
    <n v="10"/>
    <n v="3200"/>
    <n v="32000"/>
    <n v="6400"/>
    <x v="7"/>
    <s v="Q2"/>
    <s v="High Value"/>
  </r>
  <r>
    <n v="1156"/>
    <d v="2024-08-09T00:00:00"/>
    <x v="0"/>
    <x v="0"/>
    <x v="2"/>
    <s v="Cotton Shirt"/>
    <n v="11"/>
    <n v="850"/>
    <n v="9350"/>
    <n v="1870"/>
    <x v="0"/>
    <s v="Q3"/>
    <s v="Normal"/>
  </r>
  <r>
    <n v="1157"/>
    <d v="2024-02-01T00:00:00"/>
    <x v="2"/>
    <x v="1"/>
    <x v="1"/>
    <s v="Non-stick Pan"/>
    <n v="15"/>
    <n v="1500"/>
    <n v="22500"/>
    <n v="4500"/>
    <x v="1"/>
    <s v="Q1"/>
    <s v="High Value"/>
  </r>
  <r>
    <n v="1158"/>
    <d v="2024-12-06T00:00:00"/>
    <x v="3"/>
    <x v="0"/>
    <x v="2"/>
    <s v="Sports Shoes"/>
    <n v="3"/>
    <n v="2200"/>
    <n v="6600"/>
    <n v="1320"/>
    <x v="2"/>
    <s v="Q4"/>
    <s v="Normal"/>
  </r>
  <r>
    <n v="1159"/>
    <d v="2024-02-09T00:00:00"/>
    <x v="5"/>
    <x v="3"/>
    <x v="1"/>
    <s v="Wall Clock"/>
    <n v="6"/>
    <n v="650"/>
    <n v="3900"/>
    <n v="780"/>
    <x v="1"/>
    <s v="Q1"/>
    <s v="Normal"/>
  </r>
  <r>
    <n v="1160"/>
    <d v="2024-06-03T00:00:00"/>
    <x v="1"/>
    <x v="1"/>
    <x v="0"/>
    <s v="Bluetooth Speaker"/>
    <n v="14"/>
    <n v="3200"/>
    <n v="44800"/>
    <n v="8960"/>
    <x v="7"/>
    <s v="Q2"/>
    <s v="High Value"/>
  </r>
  <r>
    <n v="1161"/>
    <d v="2024-05-31T00:00:00"/>
    <x v="0"/>
    <x v="0"/>
    <x v="0"/>
    <s v="Smart Watch"/>
    <n v="6"/>
    <n v="8500"/>
    <n v="51000"/>
    <n v="10200"/>
    <x v="5"/>
    <s v="Q2"/>
    <s v="High Value"/>
  </r>
  <r>
    <n v="1162"/>
    <d v="2024-09-16T00:00:00"/>
    <x v="1"/>
    <x v="1"/>
    <x v="1"/>
    <s v="Table Lamp"/>
    <n v="6"/>
    <n v="950"/>
    <n v="5700"/>
    <n v="1140"/>
    <x v="9"/>
    <s v="Q3"/>
    <s v="Normal"/>
  </r>
  <r>
    <n v="1163"/>
    <d v="2024-05-06T00:00:00"/>
    <x v="0"/>
    <x v="0"/>
    <x v="2"/>
    <s v="Formal Trousers"/>
    <n v="12"/>
    <n v="1400"/>
    <n v="16800"/>
    <n v="3360"/>
    <x v="5"/>
    <s v="Q2"/>
    <s v="High Value"/>
  </r>
  <r>
    <n v="1164"/>
    <d v="2024-06-02T00:00:00"/>
    <x v="4"/>
    <x v="2"/>
    <x v="0"/>
    <s v="USB Hub"/>
    <n v="10"/>
    <n v="1200"/>
    <n v="12000"/>
    <n v="2400"/>
    <x v="7"/>
    <s v="Q2"/>
    <s v="High Value"/>
  </r>
  <r>
    <n v="1165"/>
    <d v="2024-12-06T00:00:00"/>
    <x v="0"/>
    <x v="0"/>
    <x v="1"/>
    <s v="Air Purifier"/>
    <n v="8"/>
    <n v="7500"/>
    <n v="60000"/>
    <n v="12000"/>
    <x v="2"/>
    <s v="Q4"/>
    <s v="High Value"/>
  </r>
  <r>
    <n v="1166"/>
    <d v="2024-08-30T00:00:00"/>
    <x v="4"/>
    <x v="2"/>
    <x v="2"/>
    <s v="Cotton Shirt"/>
    <n v="12"/>
    <n v="850"/>
    <n v="10200"/>
    <n v="2040"/>
    <x v="0"/>
    <s v="Q3"/>
    <s v="High Value"/>
  </r>
  <r>
    <n v="1167"/>
    <d v="2024-01-18T00:00:00"/>
    <x v="1"/>
    <x v="1"/>
    <x v="2"/>
    <s v="Kurta Set"/>
    <n v="8"/>
    <n v="1100"/>
    <n v="8800"/>
    <n v="1760"/>
    <x v="11"/>
    <s v="Q1"/>
    <s v="Normal"/>
  </r>
  <r>
    <n v="1168"/>
    <d v="2024-05-09T00:00:00"/>
    <x v="1"/>
    <x v="1"/>
    <x v="0"/>
    <s v="USB Hub"/>
    <n v="10"/>
    <n v="1200"/>
    <n v="12000"/>
    <n v="2400"/>
    <x v="5"/>
    <s v="Q2"/>
    <s v="High Value"/>
  </r>
  <r>
    <n v="1169"/>
    <d v="2024-07-05T00:00:00"/>
    <x v="2"/>
    <x v="1"/>
    <x v="0"/>
    <s v="Wireless Earbuds"/>
    <n v="2"/>
    <n v="2500"/>
    <n v="5000"/>
    <n v="1000"/>
    <x v="4"/>
    <s v="Q3"/>
    <s v="Normal"/>
  </r>
  <r>
    <n v="1170"/>
    <d v="2024-10-26T00:00:00"/>
    <x v="1"/>
    <x v="1"/>
    <x v="0"/>
    <s v="Smart Watch"/>
    <n v="13"/>
    <n v="8500"/>
    <n v="110500"/>
    <n v="22100"/>
    <x v="3"/>
    <s v="Q4"/>
    <s v="High Value"/>
  </r>
  <r>
    <n v="1171"/>
    <d v="2024-01-21T00:00:00"/>
    <x v="3"/>
    <x v="0"/>
    <x v="1"/>
    <s v="Wall Clock"/>
    <n v="7"/>
    <n v="650"/>
    <n v="4550"/>
    <n v="910"/>
    <x v="11"/>
    <s v="Q1"/>
    <s v="Normal"/>
  </r>
  <r>
    <n v="1172"/>
    <d v="2024-05-02T00:00:00"/>
    <x v="5"/>
    <x v="3"/>
    <x v="1"/>
    <s v="Coffee Maker"/>
    <n v="9"/>
    <n v="3200"/>
    <n v="28800"/>
    <n v="5760"/>
    <x v="5"/>
    <s v="Q2"/>
    <s v="High Value"/>
  </r>
  <r>
    <n v="1173"/>
    <d v="2024-05-23T00:00:00"/>
    <x v="1"/>
    <x v="1"/>
    <x v="2"/>
    <s v="Sports Shoes"/>
    <n v="15"/>
    <n v="2200"/>
    <n v="33000"/>
    <n v="6600"/>
    <x v="5"/>
    <s v="Q2"/>
    <s v="High Value"/>
  </r>
  <r>
    <n v="1174"/>
    <d v="2024-04-03T00:00:00"/>
    <x v="3"/>
    <x v="0"/>
    <x v="0"/>
    <s v="USB Hub"/>
    <n v="15"/>
    <n v="1200"/>
    <n v="18000"/>
    <n v="3600"/>
    <x v="6"/>
    <s v="Q2"/>
    <s v="High Value"/>
  </r>
  <r>
    <n v="1175"/>
    <d v="2024-09-01T00:00:00"/>
    <x v="0"/>
    <x v="0"/>
    <x v="1"/>
    <s v="Coffee Maker"/>
    <n v="6"/>
    <n v="3200"/>
    <n v="19200"/>
    <n v="3840"/>
    <x v="9"/>
    <s v="Q3"/>
    <s v="High Value"/>
  </r>
  <r>
    <n v="1176"/>
    <d v="2024-07-31T00:00:00"/>
    <x v="0"/>
    <x v="0"/>
    <x v="2"/>
    <s v="Sports Shoes"/>
    <n v="3"/>
    <n v="2200"/>
    <n v="6600"/>
    <n v="1320"/>
    <x v="4"/>
    <s v="Q3"/>
    <s v="Normal"/>
  </r>
  <r>
    <n v="1177"/>
    <d v="2024-07-30T00:00:00"/>
    <x v="1"/>
    <x v="1"/>
    <x v="0"/>
    <s v="USB Hub"/>
    <n v="15"/>
    <n v="1200"/>
    <n v="18000"/>
    <n v="3600"/>
    <x v="4"/>
    <s v="Q3"/>
    <s v="High Value"/>
  </r>
  <r>
    <n v="1178"/>
    <d v="2024-01-17T00:00:00"/>
    <x v="4"/>
    <x v="2"/>
    <x v="2"/>
    <s v="Cotton Shirt"/>
    <n v="8"/>
    <n v="850"/>
    <n v="6800"/>
    <n v="1360"/>
    <x v="11"/>
    <s v="Q1"/>
    <s v="Normal"/>
  </r>
  <r>
    <n v="1179"/>
    <d v="2024-10-15T00:00:00"/>
    <x v="3"/>
    <x v="0"/>
    <x v="1"/>
    <s v="Wall Clock"/>
    <n v="14"/>
    <n v="650"/>
    <n v="9100"/>
    <n v="1820"/>
    <x v="3"/>
    <s v="Q4"/>
    <s v="Normal"/>
  </r>
  <r>
    <n v="1180"/>
    <d v="2024-07-05T00:00:00"/>
    <x v="1"/>
    <x v="1"/>
    <x v="1"/>
    <s v="Non-stick Pan"/>
    <n v="15"/>
    <n v="1500"/>
    <n v="22500"/>
    <n v="4500"/>
    <x v="4"/>
    <s v="Q3"/>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F9E8B-601E-4F2E-B920-D368B4920A06}"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3" firstHeaderRow="1" firstDataRow="1" firstDataCol="1"/>
  <pivotFields count="13">
    <pivotField dataField="1" showAll="0"/>
    <pivotField showAll="0"/>
    <pivotField axis="axisRow" showAll="0">
      <items count="7">
        <item x="3"/>
        <item x="5"/>
        <item x="0"/>
        <item x="4"/>
        <item x="1"/>
        <item x="2"/>
        <item t="default"/>
      </items>
    </pivotField>
    <pivotField showAll="0"/>
    <pivotField showAll="0"/>
    <pivotField showAll="0"/>
    <pivotField showAll="0"/>
    <pivotField numFmtId="164"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Order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9F747B-F2E0-4AB8-9864-B2F6A846B29D}"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7" firstHeaderRow="1" firstDataRow="1" firstDataCol="1"/>
  <pivotFields count="13">
    <pivotField showAll="0"/>
    <pivotField showAll="0"/>
    <pivotField showAll="0"/>
    <pivotField showAll="0"/>
    <pivotField showAll="0"/>
    <pivotField showAll="0"/>
    <pivotField showAll="0"/>
    <pivotField numFmtId="164" showAll="0"/>
    <pivotField dataField="1" showAll="0"/>
    <pivotField showAll="0"/>
    <pivotField axis="axisRow" showAll="0">
      <items count="13">
        <item x="11"/>
        <item x="1"/>
        <item x="8"/>
        <item x="6"/>
        <item x="5"/>
        <item x="7"/>
        <item x="4"/>
        <item x="0"/>
        <item x="9"/>
        <item x="3"/>
        <item x="10"/>
        <item x="2"/>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8" baseField="0" baseItem="0" numFmtId="4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451F4-8B14-4CD4-8CE8-A5FBBE08FBC9}"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11" firstHeaderRow="1" firstDataRow="1" firstDataCol="1"/>
  <pivotFields count="13">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showAll="0"/>
    <pivotField showAll="0"/>
    <pivotField showAll="0"/>
  </pivotFields>
  <rowFields count="1">
    <field x="4"/>
  </rowFields>
  <rowItems count="4">
    <i>
      <x v="1"/>
    </i>
    <i>
      <x/>
    </i>
    <i>
      <x v="2"/>
    </i>
    <i t="grand">
      <x/>
    </i>
  </rowItems>
  <colItems count="1">
    <i/>
  </colItems>
  <dataFields count="1">
    <dataField name="Sum of Revenue" fld="8"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3D94A-2841-4C7F-B4C9-E2953C1AEB26}"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1" firstHeaderRow="1" firstDataRow="1" firstDataCol="1"/>
  <pivotFields count="13">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dataField="1" showAll="0"/>
    <pivotField showAll="0"/>
    <pivotField showAll="0">
      <items count="13">
        <item h="1" x="11"/>
        <item h="1" x="1"/>
        <item x="8"/>
        <item h="1" x="6"/>
        <item h="1" x="5"/>
        <item h="1" x="7"/>
        <item h="1" x="4"/>
        <item h="1" x="0"/>
        <item h="1" x="9"/>
        <item h="1" x="3"/>
        <item h="1" x="10"/>
        <item h="1" x="2"/>
        <item t="default"/>
      </items>
    </pivotField>
    <pivotField showAll="0"/>
    <pivotField showAll="0"/>
  </pivotFields>
  <rowFields count="1">
    <field x="3"/>
  </rowFields>
  <rowItems count="5">
    <i>
      <x v="2"/>
    </i>
    <i>
      <x v="1"/>
    </i>
    <i>
      <x v="3"/>
    </i>
    <i>
      <x/>
    </i>
    <i t="grand">
      <x/>
    </i>
  </rowItems>
  <colItems count="1">
    <i/>
  </colItems>
  <dataFields count="1">
    <dataField name="Sum of Revenue" fld="8" baseField="0" baseItem="0" numFmtId="4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9538A44-5B2E-4E80-814A-0B8D8240EEAE}" sourceName="Product Category">
  <pivotTables>
    <pivotTable tabId="4" name="PivotTable2"/>
  </pivotTables>
  <data>
    <tabular pivotCacheId="9311637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BDFED50-E65B-476B-8B8C-87B01E7DAA13}"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4E583-8B73-4AAD-B57C-8A685BE150DD}" name="Table1" displayName="Table1" ref="A1:M181" totalsRowShown="0" headerRowDxfId="24" headerRowBorderDxfId="23" tableBorderDxfId="22" totalsRowBorderDxfId="21">
  <autoFilter ref="A1:M181" xr:uid="{C394E583-8B73-4AAD-B57C-8A685BE150DD}"/>
  <tableColumns count="13">
    <tableColumn id="1" xr3:uid="{3A8C4D4F-105A-4376-8E9E-D10A132F4D84}" name="Order ID" dataDxfId="20"/>
    <tableColumn id="2" xr3:uid="{261F22BC-B439-4CFE-B90E-F2AB840D9E09}" name="Order Date" dataDxfId="19"/>
    <tableColumn id="3" xr3:uid="{CF1BB89F-2832-49D5-9C1F-3AFEC7E8C2DD}" name="Sales Rep" dataDxfId="18"/>
    <tableColumn id="4" xr3:uid="{0D1953B5-C614-4BA4-866F-9F23C7CEE338}" name="Region" dataDxfId="17"/>
    <tableColumn id="5" xr3:uid="{9B9FB1E9-0F23-4B82-8CF3-E9214F1065C2}" name="Product Category" dataDxfId="16"/>
    <tableColumn id="6" xr3:uid="{C0BEE30E-840E-4420-9C9C-01141A5C76E9}" name="Product Name" dataDxfId="15"/>
    <tableColumn id="7" xr3:uid="{07029ACD-9BE5-4BB1-8D7D-FC8F141FD094}" name="Qty Sold" dataDxfId="14"/>
    <tableColumn id="8" xr3:uid="{26FA4997-6CE7-4124-82E4-1F3CAD91993E}" name="Unit Price (₹)" dataDxfId="13"/>
    <tableColumn id="9" xr3:uid="{EAB8D2E0-F4E5-4FD8-8355-77903CB8E541}" name="Revenue" dataDxfId="12">
      <calculatedColumnFormula>G2*H2</calculatedColumnFormula>
    </tableColumn>
    <tableColumn id="10" xr3:uid="{08228C9B-0744-4602-96E8-9A8AB80BB52A}" name="Profit" dataDxfId="11">
      <calculatedColumnFormula>I2*20%</calculatedColumnFormula>
    </tableColumn>
    <tableColumn id="11" xr3:uid="{CEF6A29F-FF6A-4E0C-ABAC-C403E0A80EBD}" name="Month" dataDxfId="10">
      <calculatedColumnFormula>TEXT(B2,"MMM")</calculatedColumnFormula>
    </tableColumn>
    <tableColumn id="14" xr3:uid="{E130C84C-7068-411C-B3D6-1565A8780D17}" name="Quarter" dataDxfId="9">
      <calculatedColumnFormula>IF(MONTH(B2)&lt;=3,"Q1",IF(MONTH(B2)&lt;=6,"Q2",IF(MONTH(B2)&lt;=9,"Q3","Q4")))</calculatedColumnFormula>
    </tableColumn>
    <tableColumn id="15" xr3:uid="{5FB7DD4A-B963-47A9-BF83-FFC0CC072ADF}" name="Flag" dataDxfId="8">
      <calculatedColumnFormula>IF(I2&gt;10000,"High Value","Normal")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2" activePane="bottomLeft" state="frozen"/>
      <selection pane="bottomLeft" activeCell="B12" sqref="B12"/>
    </sheetView>
  </sheetViews>
  <sheetFormatPr defaultRowHeight="14.4" x14ac:dyDescent="0.3"/>
  <cols>
    <col min="1" max="1" width="11" customWidth="1"/>
    <col min="2" max="2" width="16" style="12" customWidth="1"/>
    <col min="3" max="3" width="12.6640625" customWidth="1"/>
    <col min="4" max="4" width="10" customWidth="1"/>
    <col min="5" max="5" width="19.88671875" customWidth="1"/>
    <col min="6" max="6" width="20" customWidth="1"/>
    <col min="7" max="7" width="11.21875" customWidth="1"/>
    <col min="8" max="8" width="16" customWidth="1"/>
    <col min="9" max="9" width="14.21875" bestFit="1" customWidth="1"/>
    <col min="10" max="10" width="10.6640625" bestFit="1" customWidth="1"/>
    <col min="11" max="11" width="11.44140625" bestFit="1" customWidth="1"/>
    <col min="12" max="12" width="12.77734375" bestFit="1" customWidth="1"/>
    <col min="13" max="13" width="9.5546875" bestFit="1" customWidth="1"/>
  </cols>
  <sheetData>
    <row r="1" spans="1:13" ht="22.05" customHeight="1" thickBot="1" x14ac:dyDescent="0.35">
      <c r="A1" s="18" t="s">
        <v>0</v>
      </c>
      <c r="B1" s="19" t="s">
        <v>1</v>
      </c>
      <c r="C1" s="20" t="s">
        <v>2</v>
      </c>
      <c r="D1" s="20" t="s">
        <v>3</v>
      </c>
      <c r="E1" s="20" t="s">
        <v>4</v>
      </c>
      <c r="F1" s="20" t="s">
        <v>5</v>
      </c>
      <c r="G1" s="20" t="s">
        <v>6</v>
      </c>
      <c r="H1" s="21" t="s">
        <v>7</v>
      </c>
      <c r="I1" s="28" t="s">
        <v>60</v>
      </c>
      <c r="J1" s="28" t="s">
        <v>61</v>
      </c>
      <c r="K1" s="28" t="s">
        <v>62</v>
      </c>
      <c r="L1" s="28" t="s">
        <v>64</v>
      </c>
      <c r="M1" s="28" t="s">
        <v>63</v>
      </c>
    </row>
    <row r="2" spans="1:13" ht="15" thickBot="1" x14ac:dyDescent="0.35">
      <c r="A2" s="14">
        <v>1001</v>
      </c>
      <c r="B2" s="10">
        <v>45508</v>
      </c>
      <c r="C2" s="1" t="s">
        <v>8</v>
      </c>
      <c r="D2" s="1" t="s">
        <v>9</v>
      </c>
      <c r="E2" s="1" t="s">
        <v>10</v>
      </c>
      <c r="F2" s="2" t="s">
        <v>11</v>
      </c>
      <c r="G2" s="3">
        <v>3</v>
      </c>
      <c r="H2" s="16">
        <v>2500</v>
      </c>
      <c r="I2" s="29">
        <f t="shared" ref="I2:I33" si="0">G2*H2</f>
        <v>7500</v>
      </c>
      <c r="J2" s="30">
        <f t="shared" ref="J2:J33" si="1">I2*20%</f>
        <v>1500</v>
      </c>
      <c r="K2" s="31" t="str">
        <f t="shared" ref="K2:K33" si="2">TEXT(B2,"MMM")</f>
        <v>Aug</v>
      </c>
      <c r="L2" s="30" t="str">
        <f t="shared" ref="L2:L33" si="3">IF(MONTH(B2)&lt;=3,"Q1",IF(MONTH(B2)&lt;=6,"Q2",IF(MONTH(B2)&lt;=9,"Q3","Q4")))</f>
        <v>Q3</v>
      </c>
      <c r="M2" s="31" t="str">
        <f t="shared" ref="M2:M33" si="4">IF(I2&gt;10000,"High Value","Normal")</f>
        <v>Normal</v>
      </c>
    </row>
    <row r="3" spans="1:13" x14ac:dyDescent="0.3">
      <c r="A3" s="15">
        <v>1002</v>
      </c>
      <c r="B3" s="11">
        <v>45331</v>
      </c>
      <c r="C3" s="4" t="s">
        <v>12</v>
      </c>
      <c r="D3" s="4" t="s">
        <v>13</v>
      </c>
      <c r="E3" s="4" t="s">
        <v>10</v>
      </c>
      <c r="F3" s="5" t="s">
        <v>14</v>
      </c>
      <c r="G3" s="6">
        <v>1</v>
      </c>
      <c r="H3" s="17">
        <v>2800</v>
      </c>
      <c r="I3">
        <f t="shared" si="0"/>
        <v>2800</v>
      </c>
      <c r="J3">
        <f t="shared" si="1"/>
        <v>560</v>
      </c>
      <c r="K3" t="str">
        <f t="shared" si="2"/>
        <v>Feb</v>
      </c>
      <c r="L3" s="32" t="str">
        <f t="shared" si="3"/>
        <v>Q1</v>
      </c>
      <c r="M3" s="32" t="str">
        <f t="shared" si="4"/>
        <v>Normal</v>
      </c>
    </row>
    <row r="4" spans="1:13" x14ac:dyDescent="0.3">
      <c r="A4" s="14">
        <v>1003</v>
      </c>
      <c r="B4" s="10">
        <v>45648</v>
      </c>
      <c r="C4" s="1" t="s">
        <v>12</v>
      </c>
      <c r="D4" s="1" t="s">
        <v>13</v>
      </c>
      <c r="E4" s="1" t="s">
        <v>15</v>
      </c>
      <c r="F4" s="2" t="s">
        <v>16</v>
      </c>
      <c r="G4" s="3">
        <v>11</v>
      </c>
      <c r="H4" s="16">
        <v>650</v>
      </c>
      <c r="I4">
        <f t="shared" si="0"/>
        <v>7150</v>
      </c>
      <c r="J4">
        <f t="shared" si="1"/>
        <v>1430</v>
      </c>
      <c r="K4" t="str">
        <f t="shared" si="2"/>
        <v>Dec</v>
      </c>
      <c r="L4" s="32" t="str">
        <f t="shared" si="3"/>
        <v>Q4</v>
      </c>
      <c r="M4" s="32" t="str">
        <f t="shared" si="4"/>
        <v>Normal</v>
      </c>
    </row>
    <row r="5" spans="1:13" x14ac:dyDescent="0.3">
      <c r="A5" s="15">
        <v>1004</v>
      </c>
      <c r="B5" s="11">
        <v>45591</v>
      </c>
      <c r="C5" s="4" t="s">
        <v>12</v>
      </c>
      <c r="D5" s="4" t="s">
        <v>13</v>
      </c>
      <c r="E5" s="4" t="s">
        <v>15</v>
      </c>
      <c r="F5" s="5" t="s">
        <v>17</v>
      </c>
      <c r="G5" s="6">
        <v>7</v>
      </c>
      <c r="H5" s="17">
        <v>7500</v>
      </c>
      <c r="I5">
        <f t="shared" si="0"/>
        <v>52500</v>
      </c>
      <c r="J5">
        <f t="shared" si="1"/>
        <v>10500</v>
      </c>
      <c r="K5" t="str">
        <f t="shared" si="2"/>
        <v>Oct</v>
      </c>
      <c r="L5" s="32" t="str">
        <f t="shared" si="3"/>
        <v>Q4</v>
      </c>
      <c r="M5" s="32" t="str">
        <f t="shared" si="4"/>
        <v>High Value</v>
      </c>
    </row>
    <row r="6" spans="1:13" x14ac:dyDescent="0.3">
      <c r="A6" s="14">
        <v>1005</v>
      </c>
      <c r="B6" s="10">
        <v>45499</v>
      </c>
      <c r="C6" s="1" t="s">
        <v>8</v>
      </c>
      <c r="D6" s="1" t="s">
        <v>9</v>
      </c>
      <c r="E6" s="1" t="s">
        <v>10</v>
      </c>
      <c r="F6" s="2" t="s">
        <v>18</v>
      </c>
      <c r="G6" s="3">
        <v>10</v>
      </c>
      <c r="H6" s="16">
        <v>1200</v>
      </c>
      <c r="I6">
        <f t="shared" si="0"/>
        <v>12000</v>
      </c>
      <c r="J6">
        <f t="shared" si="1"/>
        <v>2400</v>
      </c>
      <c r="K6" t="str">
        <f t="shared" si="2"/>
        <v>Jul</v>
      </c>
      <c r="L6" s="32" t="str">
        <f t="shared" si="3"/>
        <v>Q3</v>
      </c>
      <c r="M6" s="32" t="str">
        <f t="shared" si="4"/>
        <v>High Value</v>
      </c>
    </row>
    <row r="7" spans="1:13" x14ac:dyDescent="0.3">
      <c r="A7" s="15">
        <v>1006</v>
      </c>
      <c r="B7" s="11">
        <v>45426</v>
      </c>
      <c r="C7" s="4" t="s">
        <v>19</v>
      </c>
      <c r="D7" s="4" t="s">
        <v>13</v>
      </c>
      <c r="E7" s="4" t="s">
        <v>10</v>
      </c>
      <c r="F7" s="5" t="s">
        <v>18</v>
      </c>
      <c r="G7" s="6">
        <v>14</v>
      </c>
      <c r="H7" s="17">
        <v>1200</v>
      </c>
      <c r="I7">
        <f t="shared" si="0"/>
        <v>16800</v>
      </c>
      <c r="J7">
        <f t="shared" si="1"/>
        <v>3360</v>
      </c>
      <c r="K7" t="str">
        <f t="shared" si="2"/>
        <v>May</v>
      </c>
      <c r="L7" s="32" t="str">
        <f t="shared" si="3"/>
        <v>Q2</v>
      </c>
      <c r="M7" s="32" t="str">
        <f t="shared" si="4"/>
        <v>High Value</v>
      </c>
    </row>
    <row r="8" spans="1:13" x14ac:dyDescent="0.3">
      <c r="A8" s="14">
        <v>1007</v>
      </c>
      <c r="B8" s="10">
        <v>45629</v>
      </c>
      <c r="C8" s="1" t="s">
        <v>19</v>
      </c>
      <c r="D8" s="1" t="s">
        <v>13</v>
      </c>
      <c r="E8" s="1" t="s">
        <v>20</v>
      </c>
      <c r="F8" s="2" t="s">
        <v>21</v>
      </c>
      <c r="G8" s="3">
        <v>13</v>
      </c>
      <c r="H8" s="16">
        <v>2200</v>
      </c>
      <c r="I8">
        <f t="shared" si="0"/>
        <v>28600</v>
      </c>
      <c r="J8">
        <f t="shared" si="1"/>
        <v>5720</v>
      </c>
      <c r="K8" t="str">
        <f t="shared" si="2"/>
        <v>Dec</v>
      </c>
      <c r="L8" s="32" t="str">
        <f t="shared" si="3"/>
        <v>Q4</v>
      </c>
      <c r="M8" s="32" t="str">
        <f t="shared" si="4"/>
        <v>High Value</v>
      </c>
    </row>
    <row r="9" spans="1:13" x14ac:dyDescent="0.3">
      <c r="A9" s="15">
        <v>1008</v>
      </c>
      <c r="B9" s="11">
        <v>45385</v>
      </c>
      <c r="C9" s="4" t="s">
        <v>22</v>
      </c>
      <c r="D9" s="4" t="s">
        <v>9</v>
      </c>
      <c r="E9" s="4" t="s">
        <v>20</v>
      </c>
      <c r="F9" s="5" t="s">
        <v>23</v>
      </c>
      <c r="G9" s="6">
        <v>2</v>
      </c>
      <c r="H9" s="17">
        <v>1100</v>
      </c>
      <c r="I9">
        <f t="shared" si="0"/>
        <v>2200</v>
      </c>
      <c r="J9">
        <f t="shared" si="1"/>
        <v>440</v>
      </c>
      <c r="K9" t="str">
        <f t="shared" si="2"/>
        <v>Apr</v>
      </c>
      <c r="L9" s="32" t="str">
        <f t="shared" si="3"/>
        <v>Q2</v>
      </c>
      <c r="M9" s="32" t="str">
        <f t="shared" si="4"/>
        <v>Normal</v>
      </c>
    </row>
    <row r="10" spans="1:13" x14ac:dyDescent="0.3">
      <c r="A10" s="14">
        <v>1009</v>
      </c>
      <c r="B10" s="10">
        <v>45490</v>
      </c>
      <c r="C10" s="1" t="s">
        <v>12</v>
      </c>
      <c r="D10" s="1" t="s">
        <v>13</v>
      </c>
      <c r="E10" s="1" t="s">
        <v>10</v>
      </c>
      <c r="F10" s="2" t="s">
        <v>24</v>
      </c>
      <c r="G10" s="3">
        <v>1</v>
      </c>
      <c r="H10" s="16">
        <v>3200</v>
      </c>
      <c r="I10">
        <f t="shared" si="0"/>
        <v>3200</v>
      </c>
      <c r="J10">
        <f t="shared" si="1"/>
        <v>640</v>
      </c>
      <c r="K10" t="str">
        <f t="shared" si="2"/>
        <v>Jul</v>
      </c>
      <c r="L10" s="32" t="str">
        <f t="shared" si="3"/>
        <v>Q3</v>
      </c>
      <c r="M10" s="32" t="str">
        <f t="shared" si="4"/>
        <v>Normal</v>
      </c>
    </row>
    <row r="11" spans="1:13" x14ac:dyDescent="0.3">
      <c r="A11" s="15">
        <v>1010</v>
      </c>
      <c r="B11" s="11">
        <v>45504</v>
      </c>
      <c r="C11" s="4" t="s">
        <v>12</v>
      </c>
      <c r="D11" s="4" t="s">
        <v>13</v>
      </c>
      <c r="E11" s="4" t="s">
        <v>15</v>
      </c>
      <c r="F11" s="5" t="s">
        <v>16</v>
      </c>
      <c r="G11" s="6">
        <v>14</v>
      </c>
      <c r="H11" s="17">
        <v>650</v>
      </c>
      <c r="I11">
        <f t="shared" si="0"/>
        <v>9100</v>
      </c>
      <c r="J11">
        <f t="shared" si="1"/>
        <v>1820</v>
      </c>
      <c r="K11" t="str">
        <f t="shared" si="2"/>
        <v>Jul</v>
      </c>
      <c r="L11" s="32" t="str">
        <f t="shared" si="3"/>
        <v>Q3</v>
      </c>
      <c r="M11" s="32" t="str">
        <f t="shared" si="4"/>
        <v>Normal</v>
      </c>
    </row>
    <row r="12" spans="1:13" x14ac:dyDescent="0.3">
      <c r="A12" s="14">
        <v>1011</v>
      </c>
      <c r="B12" s="10">
        <v>45334</v>
      </c>
      <c r="C12" s="1" t="s">
        <v>25</v>
      </c>
      <c r="D12" s="1" t="s">
        <v>26</v>
      </c>
      <c r="E12" s="1" t="s">
        <v>15</v>
      </c>
      <c r="F12" s="2" t="s">
        <v>27</v>
      </c>
      <c r="G12" s="3">
        <v>1</v>
      </c>
      <c r="H12" s="16">
        <v>3200</v>
      </c>
      <c r="I12">
        <f t="shared" si="0"/>
        <v>3200</v>
      </c>
      <c r="J12">
        <f t="shared" si="1"/>
        <v>640</v>
      </c>
      <c r="K12" t="str">
        <f t="shared" si="2"/>
        <v>Feb</v>
      </c>
      <c r="L12" s="32" t="str">
        <f t="shared" si="3"/>
        <v>Q1</v>
      </c>
      <c r="M12" s="32" t="str">
        <f t="shared" si="4"/>
        <v>Normal</v>
      </c>
    </row>
    <row r="13" spans="1:13" x14ac:dyDescent="0.3">
      <c r="A13" s="15">
        <v>1012</v>
      </c>
      <c r="B13" s="11">
        <v>45459</v>
      </c>
      <c r="C13" s="4" t="s">
        <v>19</v>
      </c>
      <c r="D13" s="4" t="s">
        <v>13</v>
      </c>
      <c r="E13" s="4" t="s">
        <v>15</v>
      </c>
      <c r="F13" s="5" t="s">
        <v>27</v>
      </c>
      <c r="G13" s="6">
        <v>2</v>
      </c>
      <c r="H13" s="17">
        <v>3200</v>
      </c>
      <c r="I13">
        <f t="shared" si="0"/>
        <v>6400</v>
      </c>
      <c r="J13">
        <f t="shared" si="1"/>
        <v>1280</v>
      </c>
      <c r="K13" t="str">
        <f t="shared" si="2"/>
        <v>Jun</v>
      </c>
      <c r="L13" s="32" t="str">
        <f t="shared" si="3"/>
        <v>Q2</v>
      </c>
      <c r="M13" s="32" t="str">
        <f t="shared" si="4"/>
        <v>Normal</v>
      </c>
    </row>
    <row r="14" spans="1:13" x14ac:dyDescent="0.3">
      <c r="A14" s="14">
        <v>1013</v>
      </c>
      <c r="B14" s="10">
        <v>45355</v>
      </c>
      <c r="C14" s="1" t="s">
        <v>8</v>
      </c>
      <c r="D14" s="1" t="s">
        <v>9</v>
      </c>
      <c r="E14" s="1" t="s">
        <v>10</v>
      </c>
      <c r="F14" s="2" t="s">
        <v>18</v>
      </c>
      <c r="G14" s="3">
        <v>14</v>
      </c>
      <c r="H14" s="16">
        <v>1200</v>
      </c>
      <c r="I14">
        <f t="shared" si="0"/>
        <v>16800</v>
      </c>
      <c r="J14">
        <f t="shared" si="1"/>
        <v>3360</v>
      </c>
      <c r="K14" t="str">
        <f t="shared" si="2"/>
        <v>Mar</v>
      </c>
      <c r="L14" s="32" t="str">
        <f t="shared" si="3"/>
        <v>Q1</v>
      </c>
      <c r="M14" s="32" t="str">
        <f t="shared" si="4"/>
        <v>High Value</v>
      </c>
    </row>
    <row r="15" spans="1:13" x14ac:dyDescent="0.3">
      <c r="A15" s="15">
        <v>1014</v>
      </c>
      <c r="B15" s="11">
        <v>45468</v>
      </c>
      <c r="C15" s="4" t="s">
        <v>19</v>
      </c>
      <c r="D15" s="4" t="s">
        <v>13</v>
      </c>
      <c r="E15" s="4" t="s">
        <v>15</v>
      </c>
      <c r="F15" s="5" t="s">
        <v>27</v>
      </c>
      <c r="G15" s="6">
        <v>15</v>
      </c>
      <c r="H15" s="17">
        <v>3200</v>
      </c>
      <c r="I15">
        <f t="shared" si="0"/>
        <v>48000</v>
      </c>
      <c r="J15">
        <f t="shared" si="1"/>
        <v>9600</v>
      </c>
      <c r="K15" t="str">
        <f t="shared" si="2"/>
        <v>Jun</v>
      </c>
      <c r="L15" s="32" t="str">
        <f t="shared" si="3"/>
        <v>Q2</v>
      </c>
      <c r="M15" s="32" t="str">
        <f t="shared" si="4"/>
        <v>High Value</v>
      </c>
    </row>
    <row r="16" spans="1:13" x14ac:dyDescent="0.3">
      <c r="A16" s="14">
        <v>1015</v>
      </c>
      <c r="B16" s="10">
        <v>45433</v>
      </c>
      <c r="C16" s="1" t="s">
        <v>28</v>
      </c>
      <c r="D16" s="1" t="s">
        <v>29</v>
      </c>
      <c r="E16" s="1" t="s">
        <v>10</v>
      </c>
      <c r="F16" s="2" t="s">
        <v>24</v>
      </c>
      <c r="G16" s="3">
        <v>10</v>
      </c>
      <c r="H16" s="16">
        <v>3200</v>
      </c>
      <c r="I16">
        <f t="shared" si="0"/>
        <v>32000</v>
      </c>
      <c r="J16">
        <f t="shared" si="1"/>
        <v>6400</v>
      </c>
      <c r="K16" t="str">
        <f t="shared" si="2"/>
        <v>May</v>
      </c>
      <c r="L16" s="32" t="str">
        <f t="shared" si="3"/>
        <v>Q2</v>
      </c>
      <c r="M16" s="32" t="str">
        <f t="shared" si="4"/>
        <v>High Value</v>
      </c>
    </row>
    <row r="17" spans="1:13" x14ac:dyDescent="0.3">
      <c r="A17" s="15">
        <v>1016</v>
      </c>
      <c r="B17" s="11">
        <v>45462</v>
      </c>
      <c r="C17" s="4" t="s">
        <v>19</v>
      </c>
      <c r="D17" s="4" t="s">
        <v>13</v>
      </c>
      <c r="E17" s="4" t="s">
        <v>10</v>
      </c>
      <c r="F17" s="5" t="s">
        <v>24</v>
      </c>
      <c r="G17" s="6">
        <v>5</v>
      </c>
      <c r="H17" s="17">
        <v>3200</v>
      </c>
      <c r="I17">
        <f t="shared" si="0"/>
        <v>16000</v>
      </c>
      <c r="J17">
        <f t="shared" si="1"/>
        <v>3200</v>
      </c>
      <c r="K17" t="str">
        <f t="shared" si="2"/>
        <v>Jun</v>
      </c>
      <c r="L17" s="32" t="str">
        <f t="shared" si="3"/>
        <v>Q2</v>
      </c>
      <c r="M17" s="32" t="str">
        <f t="shared" si="4"/>
        <v>High Value</v>
      </c>
    </row>
    <row r="18" spans="1:13" x14ac:dyDescent="0.3">
      <c r="A18" s="14">
        <v>1017</v>
      </c>
      <c r="B18" s="10">
        <v>45384</v>
      </c>
      <c r="C18" s="1" t="s">
        <v>19</v>
      </c>
      <c r="D18" s="1" t="s">
        <v>13</v>
      </c>
      <c r="E18" s="1" t="s">
        <v>20</v>
      </c>
      <c r="F18" s="2" t="s">
        <v>30</v>
      </c>
      <c r="G18" s="3">
        <v>8</v>
      </c>
      <c r="H18" s="16">
        <v>850</v>
      </c>
      <c r="I18">
        <f t="shared" si="0"/>
        <v>6800</v>
      </c>
      <c r="J18">
        <f t="shared" si="1"/>
        <v>1360</v>
      </c>
      <c r="K18" t="str">
        <f t="shared" si="2"/>
        <v>Apr</v>
      </c>
      <c r="L18" s="32" t="str">
        <f t="shared" si="3"/>
        <v>Q2</v>
      </c>
      <c r="M18" s="32" t="str">
        <f t="shared" si="4"/>
        <v>Normal</v>
      </c>
    </row>
    <row r="19" spans="1:13" x14ac:dyDescent="0.3">
      <c r="A19" s="15">
        <v>1018</v>
      </c>
      <c r="B19" s="11">
        <v>45532</v>
      </c>
      <c r="C19" s="4" t="s">
        <v>28</v>
      </c>
      <c r="D19" s="4" t="s">
        <v>29</v>
      </c>
      <c r="E19" s="4" t="s">
        <v>20</v>
      </c>
      <c r="F19" s="5" t="s">
        <v>30</v>
      </c>
      <c r="G19" s="6">
        <v>5</v>
      </c>
      <c r="H19" s="17">
        <v>850</v>
      </c>
      <c r="I19">
        <f t="shared" si="0"/>
        <v>4250</v>
      </c>
      <c r="J19">
        <f t="shared" si="1"/>
        <v>850</v>
      </c>
      <c r="K19" t="str">
        <f t="shared" si="2"/>
        <v>Aug</v>
      </c>
      <c r="L19" s="32" t="str">
        <f t="shared" si="3"/>
        <v>Q3</v>
      </c>
      <c r="M19" s="32" t="str">
        <f t="shared" si="4"/>
        <v>Normal</v>
      </c>
    </row>
    <row r="20" spans="1:13" x14ac:dyDescent="0.3">
      <c r="A20" s="14">
        <v>1019</v>
      </c>
      <c r="B20" s="10">
        <v>45418</v>
      </c>
      <c r="C20" s="1" t="s">
        <v>19</v>
      </c>
      <c r="D20" s="1" t="s">
        <v>13</v>
      </c>
      <c r="E20" s="1" t="s">
        <v>15</v>
      </c>
      <c r="F20" s="2" t="s">
        <v>31</v>
      </c>
      <c r="G20" s="3">
        <v>3</v>
      </c>
      <c r="H20" s="16">
        <v>950</v>
      </c>
      <c r="I20">
        <f t="shared" si="0"/>
        <v>2850</v>
      </c>
      <c r="J20">
        <f t="shared" si="1"/>
        <v>570</v>
      </c>
      <c r="K20" t="str">
        <f t="shared" si="2"/>
        <v>May</v>
      </c>
      <c r="L20" s="32" t="str">
        <f t="shared" si="3"/>
        <v>Q2</v>
      </c>
      <c r="M20" s="32" t="str">
        <f t="shared" si="4"/>
        <v>Normal</v>
      </c>
    </row>
    <row r="21" spans="1:13" x14ac:dyDescent="0.3">
      <c r="A21" s="15">
        <v>1020</v>
      </c>
      <c r="B21" s="11">
        <v>45415</v>
      </c>
      <c r="C21" s="4" t="s">
        <v>8</v>
      </c>
      <c r="D21" s="4" t="s">
        <v>9</v>
      </c>
      <c r="E21" s="4" t="s">
        <v>15</v>
      </c>
      <c r="F21" s="5" t="s">
        <v>17</v>
      </c>
      <c r="G21" s="6">
        <v>4</v>
      </c>
      <c r="H21" s="17">
        <v>7500</v>
      </c>
      <c r="I21">
        <f t="shared" si="0"/>
        <v>30000</v>
      </c>
      <c r="J21">
        <f t="shared" si="1"/>
        <v>6000</v>
      </c>
      <c r="K21" t="str">
        <f t="shared" si="2"/>
        <v>May</v>
      </c>
      <c r="L21" s="32" t="str">
        <f t="shared" si="3"/>
        <v>Q2</v>
      </c>
      <c r="M21" s="32" t="str">
        <f t="shared" si="4"/>
        <v>High Value</v>
      </c>
    </row>
    <row r="22" spans="1:13" x14ac:dyDescent="0.3">
      <c r="A22" s="14">
        <v>1021</v>
      </c>
      <c r="B22" s="10">
        <v>45533</v>
      </c>
      <c r="C22" s="1" t="s">
        <v>12</v>
      </c>
      <c r="D22" s="1" t="s">
        <v>13</v>
      </c>
      <c r="E22" s="1" t="s">
        <v>10</v>
      </c>
      <c r="F22" s="2" t="s">
        <v>11</v>
      </c>
      <c r="G22" s="3">
        <v>12</v>
      </c>
      <c r="H22" s="16">
        <v>2500</v>
      </c>
      <c r="I22">
        <f t="shared" si="0"/>
        <v>30000</v>
      </c>
      <c r="J22">
        <f t="shared" si="1"/>
        <v>6000</v>
      </c>
      <c r="K22" t="str">
        <f t="shared" si="2"/>
        <v>Aug</v>
      </c>
      <c r="L22" s="32" t="str">
        <f t="shared" si="3"/>
        <v>Q3</v>
      </c>
      <c r="M22" s="32" t="str">
        <f t="shared" si="4"/>
        <v>High Value</v>
      </c>
    </row>
    <row r="23" spans="1:13" x14ac:dyDescent="0.3">
      <c r="A23" s="15">
        <v>1022</v>
      </c>
      <c r="B23" s="11">
        <v>45504</v>
      </c>
      <c r="C23" s="4" t="s">
        <v>25</v>
      </c>
      <c r="D23" s="4" t="s">
        <v>26</v>
      </c>
      <c r="E23" s="4" t="s">
        <v>10</v>
      </c>
      <c r="F23" s="5" t="s">
        <v>18</v>
      </c>
      <c r="G23" s="6">
        <v>13</v>
      </c>
      <c r="H23" s="17">
        <v>1200</v>
      </c>
      <c r="I23">
        <f t="shared" si="0"/>
        <v>15600</v>
      </c>
      <c r="J23">
        <f t="shared" si="1"/>
        <v>3120</v>
      </c>
      <c r="K23" t="str">
        <f t="shared" si="2"/>
        <v>Jul</v>
      </c>
      <c r="L23" s="32" t="str">
        <f t="shared" si="3"/>
        <v>Q3</v>
      </c>
      <c r="M23" s="32" t="str">
        <f t="shared" si="4"/>
        <v>High Value</v>
      </c>
    </row>
    <row r="24" spans="1:13" x14ac:dyDescent="0.3">
      <c r="A24" s="14">
        <v>1023</v>
      </c>
      <c r="B24" s="10">
        <v>45335</v>
      </c>
      <c r="C24" s="1" t="s">
        <v>25</v>
      </c>
      <c r="D24" s="1" t="s">
        <v>26</v>
      </c>
      <c r="E24" s="1" t="s">
        <v>15</v>
      </c>
      <c r="F24" s="2" t="s">
        <v>27</v>
      </c>
      <c r="G24" s="3">
        <v>2</v>
      </c>
      <c r="H24" s="16">
        <v>3200</v>
      </c>
      <c r="I24">
        <f t="shared" si="0"/>
        <v>6400</v>
      </c>
      <c r="J24">
        <f t="shared" si="1"/>
        <v>1280</v>
      </c>
      <c r="K24" t="str">
        <f t="shared" si="2"/>
        <v>Feb</v>
      </c>
      <c r="L24" s="32" t="str">
        <f t="shared" si="3"/>
        <v>Q1</v>
      </c>
      <c r="M24" s="32" t="str">
        <f t="shared" si="4"/>
        <v>Normal</v>
      </c>
    </row>
    <row r="25" spans="1:13" x14ac:dyDescent="0.3">
      <c r="A25" s="15">
        <v>1024</v>
      </c>
      <c r="B25" s="11">
        <v>45439</v>
      </c>
      <c r="C25" s="4" t="s">
        <v>22</v>
      </c>
      <c r="D25" s="4" t="s">
        <v>9</v>
      </c>
      <c r="E25" s="4" t="s">
        <v>10</v>
      </c>
      <c r="F25" s="5" t="s">
        <v>32</v>
      </c>
      <c r="G25" s="6">
        <v>1</v>
      </c>
      <c r="H25" s="17">
        <v>8500</v>
      </c>
      <c r="I25">
        <f t="shared" si="0"/>
        <v>8500</v>
      </c>
      <c r="J25">
        <f t="shared" si="1"/>
        <v>1700</v>
      </c>
      <c r="K25" t="str">
        <f t="shared" si="2"/>
        <v>May</v>
      </c>
      <c r="L25" s="32" t="str">
        <f t="shared" si="3"/>
        <v>Q2</v>
      </c>
      <c r="M25" s="32" t="str">
        <f t="shared" si="4"/>
        <v>Normal</v>
      </c>
    </row>
    <row r="26" spans="1:13" x14ac:dyDescent="0.3">
      <c r="A26" s="14">
        <v>1025</v>
      </c>
      <c r="B26" s="10">
        <v>45631</v>
      </c>
      <c r="C26" s="1" t="s">
        <v>22</v>
      </c>
      <c r="D26" s="1" t="s">
        <v>9</v>
      </c>
      <c r="E26" s="1" t="s">
        <v>10</v>
      </c>
      <c r="F26" s="2" t="s">
        <v>14</v>
      </c>
      <c r="G26" s="3">
        <v>5</v>
      </c>
      <c r="H26" s="16">
        <v>2800</v>
      </c>
      <c r="I26">
        <f t="shared" si="0"/>
        <v>14000</v>
      </c>
      <c r="J26">
        <f t="shared" si="1"/>
        <v>2800</v>
      </c>
      <c r="K26" t="str">
        <f t="shared" si="2"/>
        <v>Dec</v>
      </c>
      <c r="L26" s="32" t="str">
        <f t="shared" si="3"/>
        <v>Q4</v>
      </c>
      <c r="M26" s="32" t="str">
        <f t="shared" si="4"/>
        <v>High Value</v>
      </c>
    </row>
    <row r="27" spans="1:13" x14ac:dyDescent="0.3">
      <c r="A27" s="15">
        <v>1026</v>
      </c>
      <c r="B27" s="11">
        <v>45399</v>
      </c>
      <c r="C27" s="4" t="s">
        <v>19</v>
      </c>
      <c r="D27" s="4" t="s">
        <v>13</v>
      </c>
      <c r="E27" s="4" t="s">
        <v>20</v>
      </c>
      <c r="F27" s="5" t="s">
        <v>33</v>
      </c>
      <c r="G27" s="6">
        <v>1</v>
      </c>
      <c r="H27" s="17">
        <v>1800</v>
      </c>
      <c r="I27">
        <f t="shared" si="0"/>
        <v>1800</v>
      </c>
      <c r="J27">
        <f t="shared" si="1"/>
        <v>360</v>
      </c>
      <c r="K27" t="str">
        <f t="shared" si="2"/>
        <v>Apr</v>
      </c>
      <c r="L27" s="32" t="str">
        <f t="shared" si="3"/>
        <v>Q2</v>
      </c>
      <c r="M27" s="32" t="str">
        <f t="shared" si="4"/>
        <v>Normal</v>
      </c>
    </row>
    <row r="28" spans="1:13" x14ac:dyDescent="0.3">
      <c r="A28" s="14">
        <v>1027</v>
      </c>
      <c r="B28" s="10">
        <v>45376</v>
      </c>
      <c r="C28" s="1" t="s">
        <v>19</v>
      </c>
      <c r="D28" s="1" t="s">
        <v>13</v>
      </c>
      <c r="E28" s="1" t="s">
        <v>10</v>
      </c>
      <c r="F28" s="2" t="s">
        <v>14</v>
      </c>
      <c r="G28" s="3">
        <v>11</v>
      </c>
      <c r="H28" s="16">
        <v>2800</v>
      </c>
      <c r="I28">
        <f t="shared" si="0"/>
        <v>30800</v>
      </c>
      <c r="J28">
        <f t="shared" si="1"/>
        <v>6160</v>
      </c>
      <c r="K28" t="str">
        <f t="shared" si="2"/>
        <v>Mar</v>
      </c>
      <c r="L28" s="32" t="str">
        <f t="shared" si="3"/>
        <v>Q1</v>
      </c>
      <c r="M28" s="32" t="str">
        <f t="shared" si="4"/>
        <v>High Value</v>
      </c>
    </row>
    <row r="29" spans="1:13" x14ac:dyDescent="0.3">
      <c r="A29" s="15">
        <v>1028</v>
      </c>
      <c r="B29" s="11">
        <v>45393</v>
      </c>
      <c r="C29" s="4" t="s">
        <v>12</v>
      </c>
      <c r="D29" s="4" t="s">
        <v>13</v>
      </c>
      <c r="E29" s="4" t="s">
        <v>20</v>
      </c>
      <c r="F29" s="5" t="s">
        <v>33</v>
      </c>
      <c r="G29" s="6">
        <v>5</v>
      </c>
      <c r="H29" s="17">
        <v>1800</v>
      </c>
      <c r="I29">
        <f t="shared" si="0"/>
        <v>9000</v>
      </c>
      <c r="J29">
        <f t="shared" si="1"/>
        <v>1800</v>
      </c>
      <c r="K29" t="str">
        <f t="shared" si="2"/>
        <v>Apr</v>
      </c>
      <c r="L29" s="32" t="str">
        <f t="shared" si="3"/>
        <v>Q2</v>
      </c>
      <c r="M29" s="32" t="str">
        <f t="shared" si="4"/>
        <v>Normal</v>
      </c>
    </row>
    <row r="30" spans="1:13" x14ac:dyDescent="0.3">
      <c r="A30" s="14">
        <v>1029</v>
      </c>
      <c r="B30" s="10">
        <v>45649</v>
      </c>
      <c r="C30" s="1" t="s">
        <v>25</v>
      </c>
      <c r="D30" s="1" t="s">
        <v>26</v>
      </c>
      <c r="E30" s="1" t="s">
        <v>20</v>
      </c>
      <c r="F30" s="2" t="s">
        <v>21</v>
      </c>
      <c r="G30" s="3">
        <v>13</v>
      </c>
      <c r="H30" s="16">
        <v>2200</v>
      </c>
      <c r="I30">
        <f t="shared" si="0"/>
        <v>28600</v>
      </c>
      <c r="J30">
        <f t="shared" si="1"/>
        <v>5720</v>
      </c>
      <c r="K30" t="str">
        <f t="shared" si="2"/>
        <v>Dec</v>
      </c>
      <c r="L30" s="32" t="str">
        <f t="shared" si="3"/>
        <v>Q4</v>
      </c>
      <c r="M30" s="32" t="str">
        <f t="shared" si="4"/>
        <v>High Value</v>
      </c>
    </row>
    <row r="31" spans="1:13" x14ac:dyDescent="0.3">
      <c r="A31" s="15">
        <v>1030</v>
      </c>
      <c r="B31" s="11">
        <v>45451</v>
      </c>
      <c r="C31" s="4" t="s">
        <v>25</v>
      </c>
      <c r="D31" s="4" t="s">
        <v>26</v>
      </c>
      <c r="E31" s="4" t="s">
        <v>20</v>
      </c>
      <c r="F31" s="5" t="s">
        <v>33</v>
      </c>
      <c r="G31" s="6">
        <v>3</v>
      </c>
      <c r="H31" s="17">
        <v>1800</v>
      </c>
      <c r="I31">
        <f t="shared" si="0"/>
        <v>5400</v>
      </c>
      <c r="J31">
        <f t="shared" si="1"/>
        <v>1080</v>
      </c>
      <c r="K31" t="str">
        <f t="shared" si="2"/>
        <v>Jun</v>
      </c>
      <c r="L31" s="32" t="str">
        <f t="shared" si="3"/>
        <v>Q2</v>
      </c>
      <c r="M31" s="32" t="str">
        <f t="shared" si="4"/>
        <v>Normal</v>
      </c>
    </row>
    <row r="32" spans="1:13" x14ac:dyDescent="0.3">
      <c r="A32" s="15">
        <v>1031</v>
      </c>
      <c r="B32" s="11">
        <v>45556</v>
      </c>
      <c r="C32" s="4" t="s">
        <v>19</v>
      </c>
      <c r="D32" s="4" t="s">
        <v>13</v>
      </c>
      <c r="E32" s="4" t="s">
        <v>10</v>
      </c>
      <c r="F32" s="5" t="s">
        <v>14</v>
      </c>
      <c r="G32" s="6">
        <v>7</v>
      </c>
      <c r="H32" s="17">
        <v>2800</v>
      </c>
      <c r="I32">
        <f t="shared" si="0"/>
        <v>19600</v>
      </c>
      <c r="J32">
        <f t="shared" si="1"/>
        <v>3920</v>
      </c>
      <c r="K32" t="str">
        <f t="shared" si="2"/>
        <v>Sep</v>
      </c>
      <c r="L32" s="32" t="str">
        <f t="shared" si="3"/>
        <v>Q3</v>
      </c>
      <c r="M32" s="32" t="str">
        <f t="shared" si="4"/>
        <v>High Value</v>
      </c>
    </row>
    <row r="33" spans="1:13" x14ac:dyDescent="0.3">
      <c r="A33" s="14">
        <v>1032</v>
      </c>
      <c r="B33" s="10">
        <v>45428</v>
      </c>
      <c r="C33" s="1" t="s">
        <v>12</v>
      </c>
      <c r="D33" s="1" t="s">
        <v>13</v>
      </c>
      <c r="E33" s="1" t="s">
        <v>15</v>
      </c>
      <c r="F33" s="2" t="s">
        <v>17</v>
      </c>
      <c r="G33" s="3">
        <v>1</v>
      </c>
      <c r="H33" s="16">
        <v>7500</v>
      </c>
      <c r="I33">
        <f t="shared" si="0"/>
        <v>7500</v>
      </c>
      <c r="J33">
        <f t="shared" si="1"/>
        <v>1500</v>
      </c>
      <c r="K33" t="str">
        <f t="shared" si="2"/>
        <v>May</v>
      </c>
      <c r="L33" s="32" t="str">
        <f t="shared" si="3"/>
        <v>Q2</v>
      </c>
      <c r="M33" s="32" t="str">
        <f t="shared" si="4"/>
        <v>Normal</v>
      </c>
    </row>
    <row r="34" spans="1:13" x14ac:dyDescent="0.3">
      <c r="A34" s="15">
        <v>1033</v>
      </c>
      <c r="B34" s="11">
        <v>45501</v>
      </c>
      <c r="C34" s="4" t="s">
        <v>25</v>
      </c>
      <c r="D34" s="4" t="s">
        <v>26</v>
      </c>
      <c r="E34" s="4" t="s">
        <v>10</v>
      </c>
      <c r="F34" s="5" t="s">
        <v>11</v>
      </c>
      <c r="G34" s="6">
        <v>8</v>
      </c>
      <c r="H34" s="17">
        <v>2500</v>
      </c>
      <c r="I34">
        <f t="shared" ref="I34:I65" si="5">G34*H34</f>
        <v>20000</v>
      </c>
      <c r="J34">
        <f t="shared" ref="J34:J65" si="6">I34*20%</f>
        <v>4000</v>
      </c>
      <c r="K34" t="str">
        <f t="shared" ref="K34:K65" si="7">TEXT(B34,"MMM")</f>
        <v>Jul</v>
      </c>
      <c r="L34" s="32" t="str">
        <f t="shared" ref="L34:L65" si="8">IF(MONTH(B34)&lt;=3,"Q1",IF(MONTH(B34)&lt;=6,"Q2",IF(MONTH(B34)&lt;=9,"Q3","Q4")))</f>
        <v>Q3</v>
      </c>
      <c r="M34" s="32" t="str">
        <f t="shared" ref="M34:M65" si="9">IF(I34&gt;10000,"High Value","Normal")</f>
        <v>High Value</v>
      </c>
    </row>
    <row r="35" spans="1:13" x14ac:dyDescent="0.3">
      <c r="A35" s="14">
        <v>1034</v>
      </c>
      <c r="B35" s="10">
        <v>45476</v>
      </c>
      <c r="C35" s="1" t="s">
        <v>12</v>
      </c>
      <c r="D35" s="1" t="s">
        <v>13</v>
      </c>
      <c r="E35" s="1" t="s">
        <v>15</v>
      </c>
      <c r="F35" s="2" t="s">
        <v>34</v>
      </c>
      <c r="G35" s="3">
        <v>10</v>
      </c>
      <c r="H35" s="16">
        <v>1500</v>
      </c>
      <c r="I35">
        <f t="shared" si="5"/>
        <v>15000</v>
      </c>
      <c r="J35">
        <f t="shared" si="6"/>
        <v>3000</v>
      </c>
      <c r="K35" t="str">
        <f t="shared" si="7"/>
        <v>Jul</v>
      </c>
      <c r="L35" s="32" t="str">
        <f t="shared" si="8"/>
        <v>Q3</v>
      </c>
      <c r="M35" s="32" t="str">
        <f t="shared" si="9"/>
        <v>High Value</v>
      </c>
    </row>
    <row r="36" spans="1:13" x14ac:dyDescent="0.3">
      <c r="A36" s="15">
        <v>1035</v>
      </c>
      <c r="B36" s="11">
        <v>45616</v>
      </c>
      <c r="C36" s="4" t="s">
        <v>19</v>
      </c>
      <c r="D36" s="4" t="s">
        <v>13</v>
      </c>
      <c r="E36" s="4" t="s">
        <v>10</v>
      </c>
      <c r="F36" s="5" t="s">
        <v>18</v>
      </c>
      <c r="G36" s="6">
        <v>8</v>
      </c>
      <c r="H36" s="17">
        <v>1200</v>
      </c>
      <c r="I36">
        <f t="shared" si="5"/>
        <v>9600</v>
      </c>
      <c r="J36">
        <f t="shared" si="6"/>
        <v>1920</v>
      </c>
      <c r="K36" t="str">
        <f t="shared" si="7"/>
        <v>Nov</v>
      </c>
      <c r="L36" s="32" t="str">
        <f t="shared" si="8"/>
        <v>Q4</v>
      </c>
      <c r="M36" s="32" t="str">
        <f t="shared" si="9"/>
        <v>Normal</v>
      </c>
    </row>
    <row r="37" spans="1:13" x14ac:dyDescent="0.3">
      <c r="A37" s="14">
        <v>1036</v>
      </c>
      <c r="B37" s="10">
        <v>45404</v>
      </c>
      <c r="C37" s="1" t="s">
        <v>12</v>
      </c>
      <c r="D37" s="1" t="s">
        <v>13</v>
      </c>
      <c r="E37" s="1" t="s">
        <v>15</v>
      </c>
      <c r="F37" s="2" t="s">
        <v>27</v>
      </c>
      <c r="G37" s="3">
        <v>12</v>
      </c>
      <c r="H37" s="16">
        <v>3200</v>
      </c>
      <c r="I37">
        <f t="shared" si="5"/>
        <v>38400</v>
      </c>
      <c r="J37">
        <f t="shared" si="6"/>
        <v>7680</v>
      </c>
      <c r="K37" t="str">
        <f t="shared" si="7"/>
        <v>Apr</v>
      </c>
      <c r="L37" s="32" t="str">
        <f t="shared" si="8"/>
        <v>Q2</v>
      </c>
      <c r="M37" s="32" t="str">
        <f t="shared" si="9"/>
        <v>High Value</v>
      </c>
    </row>
    <row r="38" spans="1:13" x14ac:dyDescent="0.3">
      <c r="A38" s="15">
        <v>1037</v>
      </c>
      <c r="B38" s="11">
        <v>45578</v>
      </c>
      <c r="C38" s="4" t="s">
        <v>19</v>
      </c>
      <c r="D38" s="4" t="s">
        <v>13</v>
      </c>
      <c r="E38" s="4" t="s">
        <v>10</v>
      </c>
      <c r="F38" s="5" t="s">
        <v>14</v>
      </c>
      <c r="G38" s="6">
        <v>5</v>
      </c>
      <c r="H38" s="17">
        <v>2800</v>
      </c>
      <c r="I38">
        <f t="shared" si="5"/>
        <v>14000</v>
      </c>
      <c r="J38">
        <f t="shared" si="6"/>
        <v>2800</v>
      </c>
      <c r="K38" t="str">
        <f t="shared" si="7"/>
        <v>Oct</v>
      </c>
      <c r="L38" s="32" t="str">
        <f t="shared" si="8"/>
        <v>Q4</v>
      </c>
      <c r="M38" s="32" t="str">
        <f t="shared" si="9"/>
        <v>High Value</v>
      </c>
    </row>
    <row r="39" spans="1:13" x14ac:dyDescent="0.3">
      <c r="A39" s="14">
        <v>1038</v>
      </c>
      <c r="B39" s="10">
        <v>45390</v>
      </c>
      <c r="C39" s="1" t="s">
        <v>19</v>
      </c>
      <c r="D39" s="1" t="s">
        <v>13</v>
      </c>
      <c r="E39" s="1" t="s">
        <v>10</v>
      </c>
      <c r="F39" s="2" t="s">
        <v>32</v>
      </c>
      <c r="G39" s="3">
        <v>11</v>
      </c>
      <c r="H39" s="16">
        <v>8500</v>
      </c>
      <c r="I39">
        <f t="shared" si="5"/>
        <v>93500</v>
      </c>
      <c r="J39">
        <f t="shared" si="6"/>
        <v>18700</v>
      </c>
      <c r="K39" t="str">
        <f t="shared" si="7"/>
        <v>Apr</v>
      </c>
      <c r="L39" s="32" t="str">
        <f t="shared" si="8"/>
        <v>Q2</v>
      </c>
      <c r="M39" s="32" t="str">
        <f t="shared" si="9"/>
        <v>High Value</v>
      </c>
    </row>
    <row r="40" spans="1:13" x14ac:dyDescent="0.3">
      <c r="A40" s="15">
        <v>1039</v>
      </c>
      <c r="B40" s="11">
        <v>45560</v>
      </c>
      <c r="C40" s="4" t="s">
        <v>8</v>
      </c>
      <c r="D40" s="4" t="s">
        <v>9</v>
      </c>
      <c r="E40" s="4" t="s">
        <v>10</v>
      </c>
      <c r="F40" s="5" t="s">
        <v>32</v>
      </c>
      <c r="G40" s="6">
        <v>9</v>
      </c>
      <c r="H40" s="17">
        <v>8500</v>
      </c>
      <c r="I40">
        <f t="shared" si="5"/>
        <v>76500</v>
      </c>
      <c r="J40">
        <f t="shared" si="6"/>
        <v>15300</v>
      </c>
      <c r="K40" t="str">
        <f t="shared" si="7"/>
        <v>Sep</v>
      </c>
      <c r="L40" s="32" t="str">
        <f t="shared" si="8"/>
        <v>Q3</v>
      </c>
      <c r="M40" s="32" t="str">
        <f t="shared" si="9"/>
        <v>High Value</v>
      </c>
    </row>
    <row r="41" spans="1:13" x14ac:dyDescent="0.3">
      <c r="A41" s="14">
        <v>1040</v>
      </c>
      <c r="B41" s="10">
        <v>45572</v>
      </c>
      <c r="C41" s="1" t="s">
        <v>28</v>
      </c>
      <c r="D41" s="1" t="s">
        <v>29</v>
      </c>
      <c r="E41" s="1" t="s">
        <v>15</v>
      </c>
      <c r="F41" s="2" t="s">
        <v>17</v>
      </c>
      <c r="G41" s="3">
        <v>13</v>
      </c>
      <c r="H41" s="16">
        <v>7500</v>
      </c>
      <c r="I41">
        <f t="shared" si="5"/>
        <v>97500</v>
      </c>
      <c r="J41">
        <f t="shared" si="6"/>
        <v>19500</v>
      </c>
      <c r="K41" t="str">
        <f t="shared" si="7"/>
        <v>Oct</v>
      </c>
      <c r="L41" s="32" t="str">
        <f t="shared" si="8"/>
        <v>Q4</v>
      </c>
      <c r="M41" s="32" t="str">
        <f t="shared" si="9"/>
        <v>High Value</v>
      </c>
    </row>
    <row r="42" spans="1:13" x14ac:dyDescent="0.3">
      <c r="A42" s="15">
        <v>1041</v>
      </c>
      <c r="B42" s="11">
        <v>45356</v>
      </c>
      <c r="C42" s="4" t="s">
        <v>19</v>
      </c>
      <c r="D42" s="4" t="s">
        <v>13</v>
      </c>
      <c r="E42" s="4" t="s">
        <v>15</v>
      </c>
      <c r="F42" s="5" t="s">
        <v>31</v>
      </c>
      <c r="G42" s="6">
        <v>12</v>
      </c>
      <c r="H42" s="17">
        <v>950</v>
      </c>
      <c r="I42">
        <f t="shared" si="5"/>
        <v>11400</v>
      </c>
      <c r="J42">
        <f t="shared" si="6"/>
        <v>2280</v>
      </c>
      <c r="K42" t="str">
        <f t="shared" si="7"/>
        <v>Mar</v>
      </c>
      <c r="L42" s="32" t="str">
        <f t="shared" si="8"/>
        <v>Q1</v>
      </c>
      <c r="M42" s="32" t="str">
        <f t="shared" si="9"/>
        <v>High Value</v>
      </c>
    </row>
    <row r="43" spans="1:13" x14ac:dyDescent="0.3">
      <c r="A43" s="14">
        <v>1042</v>
      </c>
      <c r="B43" s="10">
        <v>45600</v>
      </c>
      <c r="C43" s="1" t="s">
        <v>8</v>
      </c>
      <c r="D43" s="1" t="s">
        <v>9</v>
      </c>
      <c r="E43" s="1" t="s">
        <v>10</v>
      </c>
      <c r="F43" s="2" t="s">
        <v>18</v>
      </c>
      <c r="G43" s="3">
        <v>11</v>
      </c>
      <c r="H43" s="16">
        <v>1200</v>
      </c>
      <c r="I43">
        <f t="shared" si="5"/>
        <v>13200</v>
      </c>
      <c r="J43">
        <f t="shared" si="6"/>
        <v>2640</v>
      </c>
      <c r="K43" t="str">
        <f t="shared" si="7"/>
        <v>Nov</v>
      </c>
      <c r="L43" s="32" t="str">
        <f t="shared" si="8"/>
        <v>Q4</v>
      </c>
      <c r="M43" s="32" t="str">
        <f t="shared" si="9"/>
        <v>High Value</v>
      </c>
    </row>
    <row r="44" spans="1:13" x14ac:dyDescent="0.3">
      <c r="A44" s="15">
        <v>1043</v>
      </c>
      <c r="B44" s="11">
        <v>45618</v>
      </c>
      <c r="C44" s="4" t="s">
        <v>12</v>
      </c>
      <c r="D44" s="4" t="s">
        <v>13</v>
      </c>
      <c r="E44" s="4" t="s">
        <v>15</v>
      </c>
      <c r="F44" s="5" t="s">
        <v>16</v>
      </c>
      <c r="G44" s="6">
        <v>2</v>
      </c>
      <c r="H44" s="17">
        <v>650</v>
      </c>
      <c r="I44">
        <f t="shared" si="5"/>
        <v>1300</v>
      </c>
      <c r="J44">
        <f t="shared" si="6"/>
        <v>260</v>
      </c>
      <c r="K44" t="str">
        <f t="shared" si="7"/>
        <v>Nov</v>
      </c>
      <c r="L44" s="32" t="str">
        <f t="shared" si="8"/>
        <v>Q4</v>
      </c>
      <c r="M44" s="32" t="str">
        <f t="shared" si="9"/>
        <v>Normal</v>
      </c>
    </row>
    <row r="45" spans="1:13" x14ac:dyDescent="0.3">
      <c r="A45" s="14">
        <v>1044</v>
      </c>
      <c r="B45" s="10">
        <v>45299</v>
      </c>
      <c r="C45" s="1" t="s">
        <v>28</v>
      </c>
      <c r="D45" s="1" t="s">
        <v>29</v>
      </c>
      <c r="E45" s="1" t="s">
        <v>15</v>
      </c>
      <c r="F45" s="2" t="s">
        <v>34</v>
      </c>
      <c r="G45" s="3">
        <v>9</v>
      </c>
      <c r="H45" s="16">
        <v>1500</v>
      </c>
      <c r="I45">
        <f t="shared" si="5"/>
        <v>13500</v>
      </c>
      <c r="J45">
        <f t="shared" si="6"/>
        <v>2700</v>
      </c>
      <c r="K45" t="str">
        <f t="shared" si="7"/>
        <v>Jan</v>
      </c>
      <c r="L45" s="32" t="str">
        <f t="shared" si="8"/>
        <v>Q1</v>
      </c>
      <c r="M45" s="32" t="str">
        <f t="shared" si="9"/>
        <v>High Value</v>
      </c>
    </row>
    <row r="46" spans="1:13" x14ac:dyDescent="0.3">
      <c r="A46" s="15">
        <v>1045</v>
      </c>
      <c r="B46" s="11">
        <v>45374</v>
      </c>
      <c r="C46" s="4" t="s">
        <v>19</v>
      </c>
      <c r="D46" s="4" t="s">
        <v>13</v>
      </c>
      <c r="E46" s="4" t="s">
        <v>10</v>
      </c>
      <c r="F46" s="5" t="s">
        <v>24</v>
      </c>
      <c r="G46" s="6">
        <v>7</v>
      </c>
      <c r="H46" s="17">
        <v>3200</v>
      </c>
      <c r="I46">
        <f t="shared" si="5"/>
        <v>22400</v>
      </c>
      <c r="J46">
        <f t="shared" si="6"/>
        <v>4480</v>
      </c>
      <c r="K46" t="str">
        <f t="shared" si="7"/>
        <v>Mar</v>
      </c>
      <c r="L46" s="32" t="str">
        <f t="shared" si="8"/>
        <v>Q1</v>
      </c>
      <c r="M46" s="32" t="str">
        <f t="shared" si="9"/>
        <v>High Value</v>
      </c>
    </row>
    <row r="47" spans="1:13" x14ac:dyDescent="0.3">
      <c r="A47" s="14">
        <v>1046</v>
      </c>
      <c r="B47" s="10">
        <v>45361</v>
      </c>
      <c r="C47" s="1" t="s">
        <v>22</v>
      </c>
      <c r="D47" s="1" t="s">
        <v>9</v>
      </c>
      <c r="E47" s="1" t="s">
        <v>20</v>
      </c>
      <c r="F47" s="2" t="s">
        <v>23</v>
      </c>
      <c r="G47" s="3">
        <v>4</v>
      </c>
      <c r="H47" s="16">
        <v>1100</v>
      </c>
      <c r="I47">
        <f t="shared" si="5"/>
        <v>4400</v>
      </c>
      <c r="J47">
        <f t="shared" si="6"/>
        <v>880</v>
      </c>
      <c r="K47" t="str">
        <f t="shared" si="7"/>
        <v>Mar</v>
      </c>
      <c r="L47" s="32" t="str">
        <f t="shared" si="8"/>
        <v>Q1</v>
      </c>
      <c r="M47" s="32" t="str">
        <f t="shared" si="9"/>
        <v>Normal</v>
      </c>
    </row>
    <row r="48" spans="1:13" x14ac:dyDescent="0.3">
      <c r="A48" s="15">
        <v>1047</v>
      </c>
      <c r="B48" s="11">
        <v>45485</v>
      </c>
      <c r="C48" s="4" t="s">
        <v>8</v>
      </c>
      <c r="D48" s="4" t="s">
        <v>9</v>
      </c>
      <c r="E48" s="4" t="s">
        <v>20</v>
      </c>
      <c r="F48" s="5" t="s">
        <v>35</v>
      </c>
      <c r="G48" s="6">
        <v>13</v>
      </c>
      <c r="H48" s="17">
        <v>1400</v>
      </c>
      <c r="I48">
        <f t="shared" si="5"/>
        <v>18200</v>
      </c>
      <c r="J48">
        <f t="shared" si="6"/>
        <v>3640</v>
      </c>
      <c r="K48" t="str">
        <f t="shared" si="7"/>
        <v>Jul</v>
      </c>
      <c r="L48" s="32" t="str">
        <f t="shared" si="8"/>
        <v>Q3</v>
      </c>
      <c r="M48" s="32" t="str">
        <f t="shared" si="9"/>
        <v>High Value</v>
      </c>
    </row>
    <row r="49" spans="1:13" x14ac:dyDescent="0.3">
      <c r="A49" s="14">
        <v>1048</v>
      </c>
      <c r="B49" s="10">
        <v>45542</v>
      </c>
      <c r="C49" s="1" t="s">
        <v>22</v>
      </c>
      <c r="D49" s="1" t="s">
        <v>9</v>
      </c>
      <c r="E49" s="1" t="s">
        <v>20</v>
      </c>
      <c r="F49" s="2" t="s">
        <v>23</v>
      </c>
      <c r="G49" s="3">
        <v>15</v>
      </c>
      <c r="H49" s="16">
        <v>1100</v>
      </c>
      <c r="I49">
        <f t="shared" si="5"/>
        <v>16500</v>
      </c>
      <c r="J49">
        <f t="shared" si="6"/>
        <v>3300</v>
      </c>
      <c r="K49" t="str">
        <f t="shared" si="7"/>
        <v>Sep</v>
      </c>
      <c r="L49" s="32" t="str">
        <f t="shared" si="8"/>
        <v>Q3</v>
      </c>
      <c r="M49" s="32" t="str">
        <f t="shared" si="9"/>
        <v>High Value</v>
      </c>
    </row>
    <row r="50" spans="1:13" x14ac:dyDescent="0.3">
      <c r="A50" s="15">
        <v>1049</v>
      </c>
      <c r="B50" s="11">
        <v>45570</v>
      </c>
      <c r="C50" s="4" t="s">
        <v>19</v>
      </c>
      <c r="D50" s="4" t="s">
        <v>13</v>
      </c>
      <c r="E50" s="4" t="s">
        <v>10</v>
      </c>
      <c r="F50" s="5" t="s">
        <v>24</v>
      </c>
      <c r="G50" s="6">
        <v>3</v>
      </c>
      <c r="H50" s="17">
        <v>3200</v>
      </c>
      <c r="I50">
        <f t="shared" si="5"/>
        <v>9600</v>
      </c>
      <c r="J50">
        <f t="shared" si="6"/>
        <v>1920</v>
      </c>
      <c r="K50" t="str">
        <f t="shared" si="7"/>
        <v>Oct</v>
      </c>
      <c r="L50" s="32" t="str">
        <f t="shared" si="8"/>
        <v>Q4</v>
      </c>
      <c r="M50" s="32" t="str">
        <f t="shared" si="9"/>
        <v>Normal</v>
      </c>
    </row>
    <row r="51" spans="1:13" x14ac:dyDescent="0.3">
      <c r="A51" s="14">
        <v>1050</v>
      </c>
      <c r="B51" s="10">
        <v>45624</v>
      </c>
      <c r="C51" s="1" t="s">
        <v>8</v>
      </c>
      <c r="D51" s="1" t="s">
        <v>9</v>
      </c>
      <c r="E51" s="1" t="s">
        <v>10</v>
      </c>
      <c r="F51" s="2" t="s">
        <v>32</v>
      </c>
      <c r="G51" s="3">
        <v>6</v>
      </c>
      <c r="H51" s="16">
        <v>8500</v>
      </c>
      <c r="I51">
        <f t="shared" si="5"/>
        <v>51000</v>
      </c>
      <c r="J51">
        <f t="shared" si="6"/>
        <v>10200</v>
      </c>
      <c r="K51" t="str">
        <f t="shared" si="7"/>
        <v>Nov</v>
      </c>
      <c r="L51" s="32" t="str">
        <f t="shared" si="8"/>
        <v>Q4</v>
      </c>
      <c r="M51" s="32" t="str">
        <f t="shared" si="9"/>
        <v>High Value</v>
      </c>
    </row>
    <row r="52" spans="1:13" x14ac:dyDescent="0.3">
      <c r="A52" s="14">
        <v>1051</v>
      </c>
      <c r="B52" s="10">
        <v>45350</v>
      </c>
      <c r="C52" s="1" t="s">
        <v>8</v>
      </c>
      <c r="D52" s="1" t="s">
        <v>9</v>
      </c>
      <c r="E52" s="1" t="s">
        <v>15</v>
      </c>
      <c r="F52" s="2" t="s">
        <v>31</v>
      </c>
      <c r="G52" s="3">
        <v>14</v>
      </c>
      <c r="H52" s="16">
        <v>950</v>
      </c>
      <c r="I52">
        <f t="shared" si="5"/>
        <v>13300</v>
      </c>
      <c r="J52">
        <f t="shared" si="6"/>
        <v>2660</v>
      </c>
      <c r="K52" t="str">
        <f t="shared" si="7"/>
        <v>Feb</v>
      </c>
      <c r="L52" s="32" t="str">
        <f t="shared" si="8"/>
        <v>Q1</v>
      </c>
      <c r="M52" s="32" t="str">
        <f t="shared" si="9"/>
        <v>High Value</v>
      </c>
    </row>
    <row r="53" spans="1:13" x14ac:dyDescent="0.3">
      <c r="A53" s="15">
        <v>1052</v>
      </c>
      <c r="B53" s="11">
        <v>45569</v>
      </c>
      <c r="C53" s="4" t="s">
        <v>22</v>
      </c>
      <c r="D53" s="4" t="s">
        <v>9</v>
      </c>
      <c r="E53" s="4" t="s">
        <v>10</v>
      </c>
      <c r="F53" s="5" t="s">
        <v>32</v>
      </c>
      <c r="G53" s="6">
        <v>12</v>
      </c>
      <c r="H53" s="17">
        <v>8500</v>
      </c>
      <c r="I53">
        <f t="shared" si="5"/>
        <v>102000</v>
      </c>
      <c r="J53">
        <f t="shared" si="6"/>
        <v>20400</v>
      </c>
      <c r="K53" t="str">
        <f t="shared" si="7"/>
        <v>Oct</v>
      </c>
      <c r="L53" s="32" t="str">
        <f t="shared" si="8"/>
        <v>Q4</v>
      </c>
      <c r="M53" s="32" t="str">
        <f t="shared" si="9"/>
        <v>High Value</v>
      </c>
    </row>
    <row r="54" spans="1:13" x14ac:dyDescent="0.3">
      <c r="A54" s="14">
        <v>1053</v>
      </c>
      <c r="B54" s="10">
        <v>45548</v>
      </c>
      <c r="C54" s="1" t="s">
        <v>12</v>
      </c>
      <c r="D54" s="1" t="s">
        <v>13</v>
      </c>
      <c r="E54" s="1" t="s">
        <v>20</v>
      </c>
      <c r="F54" s="2" t="s">
        <v>23</v>
      </c>
      <c r="G54" s="3">
        <v>10</v>
      </c>
      <c r="H54" s="16">
        <v>1100</v>
      </c>
      <c r="I54">
        <f t="shared" si="5"/>
        <v>11000</v>
      </c>
      <c r="J54">
        <f t="shared" si="6"/>
        <v>2200</v>
      </c>
      <c r="K54" t="str">
        <f t="shared" si="7"/>
        <v>Sep</v>
      </c>
      <c r="L54" s="32" t="str">
        <f t="shared" si="8"/>
        <v>Q3</v>
      </c>
      <c r="M54" s="32" t="str">
        <f t="shared" si="9"/>
        <v>High Value</v>
      </c>
    </row>
    <row r="55" spans="1:13" x14ac:dyDescent="0.3">
      <c r="A55" s="15">
        <v>1054</v>
      </c>
      <c r="B55" s="11">
        <v>45569</v>
      </c>
      <c r="C55" s="4" t="s">
        <v>12</v>
      </c>
      <c r="D55" s="4" t="s">
        <v>13</v>
      </c>
      <c r="E55" s="4" t="s">
        <v>10</v>
      </c>
      <c r="F55" s="5" t="s">
        <v>11</v>
      </c>
      <c r="G55" s="6">
        <v>11</v>
      </c>
      <c r="H55" s="17">
        <v>2500</v>
      </c>
      <c r="I55">
        <f t="shared" si="5"/>
        <v>27500</v>
      </c>
      <c r="J55">
        <f t="shared" si="6"/>
        <v>5500</v>
      </c>
      <c r="K55" t="str">
        <f t="shared" si="7"/>
        <v>Oct</v>
      </c>
      <c r="L55" s="32" t="str">
        <f t="shared" si="8"/>
        <v>Q4</v>
      </c>
      <c r="M55" s="32" t="str">
        <f t="shared" si="9"/>
        <v>High Value</v>
      </c>
    </row>
    <row r="56" spans="1:13" x14ac:dyDescent="0.3">
      <c r="A56" s="14">
        <v>1055</v>
      </c>
      <c r="B56" s="10">
        <v>45496</v>
      </c>
      <c r="C56" s="1" t="s">
        <v>25</v>
      </c>
      <c r="D56" s="1" t="s">
        <v>26</v>
      </c>
      <c r="E56" s="1" t="s">
        <v>10</v>
      </c>
      <c r="F56" s="2" t="s">
        <v>11</v>
      </c>
      <c r="G56" s="3">
        <v>11</v>
      </c>
      <c r="H56" s="16">
        <v>2500</v>
      </c>
      <c r="I56">
        <f t="shared" si="5"/>
        <v>27500</v>
      </c>
      <c r="J56">
        <f t="shared" si="6"/>
        <v>5500</v>
      </c>
      <c r="K56" t="str">
        <f t="shared" si="7"/>
        <v>Jul</v>
      </c>
      <c r="L56" s="32" t="str">
        <f t="shared" si="8"/>
        <v>Q3</v>
      </c>
      <c r="M56" s="32" t="str">
        <f t="shared" si="9"/>
        <v>High Value</v>
      </c>
    </row>
    <row r="57" spans="1:13" x14ac:dyDescent="0.3">
      <c r="A57" s="15">
        <v>1056</v>
      </c>
      <c r="B57" s="11">
        <v>45599</v>
      </c>
      <c r="C57" s="4" t="s">
        <v>19</v>
      </c>
      <c r="D57" s="4" t="s">
        <v>13</v>
      </c>
      <c r="E57" s="4" t="s">
        <v>10</v>
      </c>
      <c r="F57" s="5" t="s">
        <v>14</v>
      </c>
      <c r="G57" s="6">
        <v>5</v>
      </c>
      <c r="H57" s="17">
        <v>2800</v>
      </c>
      <c r="I57">
        <f t="shared" si="5"/>
        <v>14000</v>
      </c>
      <c r="J57">
        <f t="shared" si="6"/>
        <v>2800</v>
      </c>
      <c r="K57" t="str">
        <f t="shared" si="7"/>
        <v>Nov</v>
      </c>
      <c r="L57" s="32" t="str">
        <f t="shared" si="8"/>
        <v>Q4</v>
      </c>
      <c r="M57" s="32" t="str">
        <f t="shared" si="9"/>
        <v>High Value</v>
      </c>
    </row>
    <row r="58" spans="1:13" x14ac:dyDescent="0.3">
      <c r="A58" s="14">
        <v>1057</v>
      </c>
      <c r="B58" s="10">
        <v>45400</v>
      </c>
      <c r="C58" s="1" t="s">
        <v>22</v>
      </c>
      <c r="D58" s="1" t="s">
        <v>9</v>
      </c>
      <c r="E58" s="1" t="s">
        <v>10</v>
      </c>
      <c r="F58" s="2" t="s">
        <v>24</v>
      </c>
      <c r="G58" s="3">
        <v>6</v>
      </c>
      <c r="H58" s="16">
        <v>3200</v>
      </c>
      <c r="I58">
        <f t="shared" si="5"/>
        <v>19200</v>
      </c>
      <c r="J58">
        <f t="shared" si="6"/>
        <v>3840</v>
      </c>
      <c r="K58" t="str">
        <f t="shared" si="7"/>
        <v>Apr</v>
      </c>
      <c r="L58" s="32" t="str">
        <f t="shared" si="8"/>
        <v>Q2</v>
      </c>
      <c r="M58" s="32" t="str">
        <f t="shared" si="9"/>
        <v>High Value</v>
      </c>
    </row>
    <row r="59" spans="1:13" x14ac:dyDescent="0.3">
      <c r="A59" s="15">
        <v>1058</v>
      </c>
      <c r="B59" s="11">
        <v>45299</v>
      </c>
      <c r="C59" s="4" t="s">
        <v>25</v>
      </c>
      <c r="D59" s="4" t="s">
        <v>26</v>
      </c>
      <c r="E59" s="4" t="s">
        <v>10</v>
      </c>
      <c r="F59" s="5" t="s">
        <v>24</v>
      </c>
      <c r="G59" s="6">
        <v>9</v>
      </c>
      <c r="H59" s="17">
        <v>3200</v>
      </c>
      <c r="I59">
        <f t="shared" si="5"/>
        <v>28800</v>
      </c>
      <c r="J59">
        <f t="shared" si="6"/>
        <v>5760</v>
      </c>
      <c r="K59" t="str">
        <f t="shared" si="7"/>
        <v>Jan</v>
      </c>
      <c r="L59" s="32" t="str">
        <f t="shared" si="8"/>
        <v>Q1</v>
      </c>
      <c r="M59" s="32" t="str">
        <f t="shared" si="9"/>
        <v>High Value</v>
      </c>
    </row>
    <row r="60" spans="1:13" x14ac:dyDescent="0.3">
      <c r="A60" s="14">
        <v>1059</v>
      </c>
      <c r="B60" s="10">
        <v>45321</v>
      </c>
      <c r="C60" s="1" t="s">
        <v>25</v>
      </c>
      <c r="D60" s="1" t="s">
        <v>26</v>
      </c>
      <c r="E60" s="1" t="s">
        <v>20</v>
      </c>
      <c r="F60" s="2" t="s">
        <v>21</v>
      </c>
      <c r="G60" s="3">
        <v>11</v>
      </c>
      <c r="H60" s="16">
        <v>2200</v>
      </c>
      <c r="I60">
        <f t="shared" si="5"/>
        <v>24200</v>
      </c>
      <c r="J60">
        <f t="shared" si="6"/>
        <v>4840</v>
      </c>
      <c r="K60" t="str">
        <f t="shared" si="7"/>
        <v>Jan</v>
      </c>
      <c r="L60" s="32" t="str">
        <f t="shared" si="8"/>
        <v>Q1</v>
      </c>
      <c r="M60" s="32" t="str">
        <f t="shared" si="9"/>
        <v>High Value</v>
      </c>
    </row>
    <row r="61" spans="1:13" x14ac:dyDescent="0.3">
      <c r="A61" s="15">
        <v>1060</v>
      </c>
      <c r="B61" s="11">
        <v>45560</v>
      </c>
      <c r="C61" s="4" t="s">
        <v>25</v>
      </c>
      <c r="D61" s="4" t="s">
        <v>26</v>
      </c>
      <c r="E61" s="4" t="s">
        <v>15</v>
      </c>
      <c r="F61" s="5" t="s">
        <v>17</v>
      </c>
      <c r="G61" s="6">
        <v>15</v>
      </c>
      <c r="H61" s="17">
        <v>7500</v>
      </c>
      <c r="I61">
        <f t="shared" si="5"/>
        <v>112500</v>
      </c>
      <c r="J61">
        <f t="shared" si="6"/>
        <v>22500</v>
      </c>
      <c r="K61" t="str">
        <f t="shared" si="7"/>
        <v>Sep</v>
      </c>
      <c r="L61" s="32" t="str">
        <f t="shared" si="8"/>
        <v>Q3</v>
      </c>
      <c r="M61" s="32" t="str">
        <f t="shared" si="9"/>
        <v>High Value</v>
      </c>
    </row>
    <row r="62" spans="1:13" x14ac:dyDescent="0.3">
      <c r="A62" s="14">
        <v>1061</v>
      </c>
      <c r="B62" s="10">
        <v>45607</v>
      </c>
      <c r="C62" s="1" t="s">
        <v>19</v>
      </c>
      <c r="D62" s="1" t="s">
        <v>13</v>
      </c>
      <c r="E62" s="1" t="s">
        <v>20</v>
      </c>
      <c r="F62" s="2" t="s">
        <v>33</v>
      </c>
      <c r="G62" s="3">
        <v>5</v>
      </c>
      <c r="H62" s="16">
        <v>1800</v>
      </c>
      <c r="I62">
        <f t="shared" si="5"/>
        <v>9000</v>
      </c>
      <c r="J62">
        <f t="shared" si="6"/>
        <v>1800</v>
      </c>
      <c r="K62" t="str">
        <f t="shared" si="7"/>
        <v>Nov</v>
      </c>
      <c r="L62" s="32" t="str">
        <f t="shared" si="8"/>
        <v>Q4</v>
      </c>
      <c r="M62" s="32" t="str">
        <f t="shared" si="9"/>
        <v>Normal</v>
      </c>
    </row>
    <row r="63" spans="1:13" x14ac:dyDescent="0.3">
      <c r="A63" s="15">
        <v>1062</v>
      </c>
      <c r="B63" s="11">
        <v>45436</v>
      </c>
      <c r="C63" s="4" t="s">
        <v>8</v>
      </c>
      <c r="D63" s="4" t="s">
        <v>9</v>
      </c>
      <c r="E63" s="4" t="s">
        <v>20</v>
      </c>
      <c r="F63" s="5" t="s">
        <v>21</v>
      </c>
      <c r="G63" s="6">
        <v>15</v>
      </c>
      <c r="H63" s="17">
        <v>2200</v>
      </c>
      <c r="I63">
        <f t="shared" si="5"/>
        <v>33000</v>
      </c>
      <c r="J63">
        <f t="shared" si="6"/>
        <v>6600</v>
      </c>
      <c r="K63" t="str">
        <f t="shared" si="7"/>
        <v>May</v>
      </c>
      <c r="L63" s="32" t="str">
        <f t="shared" si="8"/>
        <v>Q2</v>
      </c>
      <c r="M63" s="32" t="str">
        <f t="shared" si="9"/>
        <v>High Value</v>
      </c>
    </row>
    <row r="64" spans="1:13" x14ac:dyDescent="0.3">
      <c r="A64" s="14">
        <v>1063</v>
      </c>
      <c r="B64" s="10">
        <v>45523</v>
      </c>
      <c r="C64" s="1" t="s">
        <v>25</v>
      </c>
      <c r="D64" s="1" t="s">
        <v>26</v>
      </c>
      <c r="E64" s="1" t="s">
        <v>10</v>
      </c>
      <c r="F64" s="2" t="s">
        <v>24</v>
      </c>
      <c r="G64" s="3">
        <v>14</v>
      </c>
      <c r="H64" s="16">
        <v>3200</v>
      </c>
      <c r="I64">
        <f t="shared" si="5"/>
        <v>44800</v>
      </c>
      <c r="J64">
        <f t="shared" si="6"/>
        <v>8960</v>
      </c>
      <c r="K64" t="str">
        <f t="shared" si="7"/>
        <v>Aug</v>
      </c>
      <c r="L64" s="32" t="str">
        <f t="shared" si="8"/>
        <v>Q3</v>
      </c>
      <c r="M64" s="32" t="str">
        <f t="shared" si="9"/>
        <v>High Value</v>
      </c>
    </row>
    <row r="65" spans="1:13" x14ac:dyDescent="0.3">
      <c r="A65" s="15">
        <v>1064</v>
      </c>
      <c r="B65" s="11">
        <v>45502</v>
      </c>
      <c r="C65" s="4" t="s">
        <v>25</v>
      </c>
      <c r="D65" s="4" t="s">
        <v>26</v>
      </c>
      <c r="E65" s="4" t="s">
        <v>20</v>
      </c>
      <c r="F65" s="5" t="s">
        <v>33</v>
      </c>
      <c r="G65" s="6">
        <v>10</v>
      </c>
      <c r="H65" s="17">
        <v>1800</v>
      </c>
      <c r="I65">
        <f t="shared" si="5"/>
        <v>18000</v>
      </c>
      <c r="J65">
        <f t="shared" si="6"/>
        <v>3600</v>
      </c>
      <c r="K65" t="str">
        <f t="shared" si="7"/>
        <v>Jul</v>
      </c>
      <c r="L65" s="32" t="str">
        <f t="shared" si="8"/>
        <v>Q3</v>
      </c>
      <c r="M65" s="32" t="str">
        <f t="shared" si="9"/>
        <v>High Value</v>
      </c>
    </row>
    <row r="66" spans="1:13" x14ac:dyDescent="0.3">
      <c r="A66" s="14">
        <v>1065</v>
      </c>
      <c r="B66" s="10">
        <v>45559</v>
      </c>
      <c r="C66" s="1" t="s">
        <v>25</v>
      </c>
      <c r="D66" s="1" t="s">
        <v>26</v>
      </c>
      <c r="E66" s="1" t="s">
        <v>15</v>
      </c>
      <c r="F66" s="2" t="s">
        <v>17</v>
      </c>
      <c r="G66" s="3">
        <v>2</v>
      </c>
      <c r="H66" s="16">
        <v>7500</v>
      </c>
      <c r="I66">
        <f t="shared" ref="I66:I97" si="10">G66*H66</f>
        <v>15000</v>
      </c>
      <c r="J66">
        <f t="shared" ref="J66:J97" si="11">I66*20%</f>
        <v>3000</v>
      </c>
      <c r="K66" t="str">
        <f t="shared" ref="K66:K97" si="12">TEXT(B66,"MMM")</f>
        <v>Sep</v>
      </c>
      <c r="L66" s="32" t="str">
        <f t="shared" ref="L66:L97" si="13">IF(MONTH(B66)&lt;=3,"Q1",IF(MONTH(B66)&lt;=6,"Q2",IF(MONTH(B66)&lt;=9,"Q3","Q4")))</f>
        <v>Q3</v>
      </c>
      <c r="M66" s="32" t="str">
        <f t="shared" ref="M66:M97" si="14">IF(I66&gt;10000,"High Value","Normal")</f>
        <v>High Value</v>
      </c>
    </row>
    <row r="67" spans="1:13" x14ac:dyDescent="0.3">
      <c r="A67" s="15">
        <v>1066</v>
      </c>
      <c r="B67" s="11">
        <v>45477</v>
      </c>
      <c r="C67" s="4" t="s">
        <v>8</v>
      </c>
      <c r="D67" s="4" t="s">
        <v>9</v>
      </c>
      <c r="E67" s="4" t="s">
        <v>15</v>
      </c>
      <c r="F67" s="5" t="s">
        <v>16</v>
      </c>
      <c r="G67" s="6">
        <v>7</v>
      </c>
      <c r="H67" s="17">
        <v>650</v>
      </c>
      <c r="I67">
        <f t="shared" si="10"/>
        <v>4550</v>
      </c>
      <c r="J67">
        <f t="shared" si="11"/>
        <v>910</v>
      </c>
      <c r="K67" t="str">
        <f t="shared" si="12"/>
        <v>Jul</v>
      </c>
      <c r="L67" s="32" t="str">
        <f t="shared" si="13"/>
        <v>Q3</v>
      </c>
      <c r="M67" s="32" t="str">
        <f t="shared" si="14"/>
        <v>Normal</v>
      </c>
    </row>
    <row r="68" spans="1:13" x14ac:dyDescent="0.3">
      <c r="A68" s="14">
        <v>1067</v>
      </c>
      <c r="B68" s="10">
        <v>45457</v>
      </c>
      <c r="C68" s="1" t="s">
        <v>12</v>
      </c>
      <c r="D68" s="1" t="s">
        <v>13</v>
      </c>
      <c r="E68" s="1" t="s">
        <v>10</v>
      </c>
      <c r="F68" s="2" t="s">
        <v>24</v>
      </c>
      <c r="G68" s="3">
        <v>8</v>
      </c>
      <c r="H68" s="16">
        <v>3200</v>
      </c>
      <c r="I68">
        <f t="shared" si="10"/>
        <v>25600</v>
      </c>
      <c r="J68">
        <f t="shared" si="11"/>
        <v>5120</v>
      </c>
      <c r="K68" t="str">
        <f t="shared" si="12"/>
        <v>Jun</v>
      </c>
      <c r="L68" s="32" t="str">
        <f t="shared" si="13"/>
        <v>Q2</v>
      </c>
      <c r="M68" s="32" t="str">
        <f t="shared" si="14"/>
        <v>High Value</v>
      </c>
    </row>
    <row r="69" spans="1:13" x14ac:dyDescent="0.3">
      <c r="A69" s="15">
        <v>1068</v>
      </c>
      <c r="B69" s="11">
        <v>45558</v>
      </c>
      <c r="C69" s="4" t="s">
        <v>12</v>
      </c>
      <c r="D69" s="4" t="s">
        <v>13</v>
      </c>
      <c r="E69" s="4" t="s">
        <v>10</v>
      </c>
      <c r="F69" s="5" t="s">
        <v>14</v>
      </c>
      <c r="G69" s="6">
        <v>7</v>
      </c>
      <c r="H69" s="17">
        <v>2800</v>
      </c>
      <c r="I69">
        <f t="shared" si="10"/>
        <v>19600</v>
      </c>
      <c r="J69">
        <f t="shared" si="11"/>
        <v>3920</v>
      </c>
      <c r="K69" t="str">
        <f t="shared" si="12"/>
        <v>Sep</v>
      </c>
      <c r="L69" s="32" t="str">
        <f t="shared" si="13"/>
        <v>Q3</v>
      </c>
      <c r="M69" s="32" t="str">
        <f t="shared" si="14"/>
        <v>High Value</v>
      </c>
    </row>
    <row r="70" spans="1:13" x14ac:dyDescent="0.3">
      <c r="A70" s="14">
        <v>1069</v>
      </c>
      <c r="B70" s="10">
        <v>45513</v>
      </c>
      <c r="C70" s="1" t="s">
        <v>12</v>
      </c>
      <c r="D70" s="1" t="s">
        <v>13</v>
      </c>
      <c r="E70" s="1" t="s">
        <v>20</v>
      </c>
      <c r="F70" s="2" t="s">
        <v>30</v>
      </c>
      <c r="G70" s="3">
        <v>1</v>
      </c>
      <c r="H70" s="16">
        <v>850</v>
      </c>
      <c r="I70">
        <f t="shared" si="10"/>
        <v>850</v>
      </c>
      <c r="J70">
        <f t="shared" si="11"/>
        <v>170</v>
      </c>
      <c r="K70" t="str">
        <f t="shared" si="12"/>
        <v>Aug</v>
      </c>
      <c r="L70" s="32" t="str">
        <f t="shared" si="13"/>
        <v>Q3</v>
      </c>
      <c r="M70" s="32" t="str">
        <f t="shared" si="14"/>
        <v>Normal</v>
      </c>
    </row>
    <row r="71" spans="1:13" x14ac:dyDescent="0.3">
      <c r="A71" s="15">
        <v>1070</v>
      </c>
      <c r="B71" s="11">
        <v>45530</v>
      </c>
      <c r="C71" s="4" t="s">
        <v>8</v>
      </c>
      <c r="D71" s="4" t="s">
        <v>9</v>
      </c>
      <c r="E71" s="4" t="s">
        <v>10</v>
      </c>
      <c r="F71" s="5" t="s">
        <v>24</v>
      </c>
      <c r="G71" s="6">
        <v>8</v>
      </c>
      <c r="H71" s="17">
        <v>3200</v>
      </c>
      <c r="I71">
        <f t="shared" si="10"/>
        <v>25600</v>
      </c>
      <c r="J71">
        <f t="shared" si="11"/>
        <v>5120</v>
      </c>
      <c r="K71" t="str">
        <f t="shared" si="12"/>
        <v>Aug</v>
      </c>
      <c r="L71" s="32" t="str">
        <f t="shared" si="13"/>
        <v>Q3</v>
      </c>
      <c r="M71" s="32" t="str">
        <f t="shared" si="14"/>
        <v>High Value</v>
      </c>
    </row>
    <row r="72" spans="1:13" x14ac:dyDescent="0.3">
      <c r="A72" s="14">
        <v>1071</v>
      </c>
      <c r="B72" s="10">
        <v>45503</v>
      </c>
      <c r="C72" s="1" t="s">
        <v>8</v>
      </c>
      <c r="D72" s="1" t="s">
        <v>9</v>
      </c>
      <c r="E72" s="1" t="s">
        <v>20</v>
      </c>
      <c r="F72" s="2" t="s">
        <v>33</v>
      </c>
      <c r="G72" s="3">
        <v>10</v>
      </c>
      <c r="H72" s="16">
        <v>1800</v>
      </c>
      <c r="I72">
        <f t="shared" si="10"/>
        <v>18000</v>
      </c>
      <c r="J72">
        <f t="shared" si="11"/>
        <v>3600</v>
      </c>
      <c r="K72" t="str">
        <f t="shared" si="12"/>
        <v>Jul</v>
      </c>
      <c r="L72" s="32" t="str">
        <f t="shared" si="13"/>
        <v>Q3</v>
      </c>
      <c r="M72" s="32" t="str">
        <f t="shared" si="14"/>
        <v>High Value</v>
      </c>
    </row>
    <row r="73" spans="1:13" x14ac:dyDescent="0.3">
      <c r="A73" s="15">
        <v>1072</v>
      </c>
      <c r="B73" s="11">
        <v>45372</v>
      </c>
      <c r="C73" s="4" t="s">
        <v>22</v>
      </c>
      <c r="D73" s="4" t="s">
        <v>9</v>
      </c>
      <c r="E73" s="4" t="s">
        <v>15</v>
      </c>
      <c r="F73" s="5" t="s">
        <v>27</v>
      </c>
      <c r="G73" s="6">
        <v>7</v>
      </c>
      <c r="H73" s="17">
        <v>3200</v>
      </c>
      <c r="I73">
        <f t="shared" si="10"/>
        <v>22400</v>
      </c>
      <c r="J73">
        <f t="shared" si="11"/>
        <v>4480</v>
      </c>
      <c r="K73" t="str">
        <f t="shared" si="12"/>
        <v>Mar</v>
      </c>
      <c r="L73" s="32" t="str">
        <f t="shared" si="13"/>
        <v>Q1</v>
      </c>
      <c r="M73" s="32" t="str">
        <f t="shared" si="14"/>
        <v>High Value</v>
      </c>
    </row>
    <row r="74" spans="1:13" x14ac:dyDescent="0.3">
      <c r="A74" s="14">
        <v>1073</v>
      </c>
      <c r="B74" s="10">
        <v>45476</v>
      </c>
      <c r="C74" s="1" t="s">
        <v>28</v>
      </c>
      <c r="D74" s="1" t="s">
        <v>29</v>
      </c>
      <c r="E74" s="1" t="s">
        <v>20</v>
      </c>
      <c r="F74" s="2" t="s">
        <v>23</v>
      </c>
      <c r="G74" s="3">
        <v>1</v>
      </c>
      <c r="H74" s="16">
        <v>1100</v>
      </c>
      <c r="I74">
        <f t="shared" si="10"/>
        <v>1100</v>
      </c>
      <c r="J74">
        <f t="shared" si="11"/>
        <v>220</v>
      </c>
      <c r="K74" t="str">
        <f t="shared" si="12"/>
        <v>Jul</v>
      </c>
      <c r="L74" s="32" t="str">
        <f t="shared" si="13"/>
        <v>Q3</v>
      </c>
      <c r="M74" s="32" t="str">
        <f t="shared" si="14"/>
        <v>Normal</v>
      </c>
    </row>
    <row r="75" spans="1:13" x14ac:dyDescent="0.3">
      <c r="A75" s="15">
        <v>1074</v>
      </c>
      <c r="B75" s="11">
        <v>45317</v>
      </c>
      <c r="C75" s="4" t="s">
        <v>8</v>
      </c>
      <c r="D75" s="4" t="s">
        <v>9</v>
      </c>
      <c r="E75" s="4" t="s">
        <v>20</v>
      </c>
      <c r="F75" s="5" t="s">
        <v>35</v>
      </c>
      <c r="G75" s="6">
        <v>5</v>
      </c>
      <c r="H75" s="17">
        <v>1400</v>
      </c>
      <c r="I75">
        <f t="shared" si="10"/>
        <v>7000</v>
      </c>
      <c r="J75">
        <f t="shared" si="11"/>
        <v>1400</v>
      </c>
      <c r="K75" t="str">
        <f t="shared" si="12"/>
        <v>Jan</v>
      </c>
      <c r="L75" s="32" t="str">
        <f t="shared" si="13"/>
        <v>Q1</v>
      </c>
      <c r="M75" s="32" t="str">
        <f t="shared" si="14"/>
        <v>Normal</v>
      </c>
    </row>
    <row r="76" spans="1:13" x14ac:dyDescent="0.3">
      <c r="A76" s="14">
        <v>1075</v>
      </c>
      <c r="B76" s="10">
        <v>45623</v>
      </c>
      <c r="C76" s="1" t="s">
        <v>22</v>
      </c>
      <c r="D76" s="1" t="s">
        <v>9</v>
      </c>
      <c r="E76" s="1" t="s">
        <v>20</v>
      </c>
      <c r="F76" s="2" t="s">
        <v>21</v>
      </c>
      <c r="G76" s="3">
        <v>12</v>
      </c>
      <c r="H76" s="16">
        <v>2200</v>
      </c>
      <c r="I76">
        <f t="shared" si="10"/>
        <v>26400</v>
      </c>
      <c r="J76">
        <f t="shared" si="11"/>
        <v>5280</v>
      </c>
      <c r="K76" t="str">
        <f t="shared" si="12"/>
        <v>Nov</v>
      </c>
      <c r="L76" s="32" t="str">
        <f t="shared" si="13"/>
        <v>Q4</v>
      </c>
      <c r="M76" s="32" t="str">
        <f t="shared" si="14"/>
        <v>High Value</v>
      </c>
    </row>
    <row r="77" spans="1:13" x14ac:dyDescent="0.3">
      <c r="A77" s="15">
        <v>1076</v>
      </c>
      <c r="B77" s="11">
        <v>45351</v>
      </c>
      <c r="C77" s="4" t="s">
        <v>8</v>
      </c>
      <c r="D77" s="4" t="s">
        <v>9</v>
      </c>
      <c r="E77" s="4" t="s">
        <v>10</v>
      </c>
      <c r="F77" s="5" t="s">
        <v>18</v>
      </c>
      <c r="G77" s="6">
        <v>14</v>
      </c>
      <c r="H77" s="17">
        <v>1200</v>
      </c>
      <c r="I77">
        <f t="shared" si="10"/>
        <v>16800</v>
      </c>
      <c r="J77">
        <f t="shared" si="11"/>
        <v>3360</v>
      </c>
      <c r="K77" t="str">
        <f t="shared" si="12"/>
        <v>Feb</v>
      </c>
      <c r="L77" s="32" t="str">
        <f t="shared" si="13"/>
        <v>Q1</v>
      </c>
      <c r="M77" s="32" t="str">
        <f t="shared" si="14"/>
        <v>High Value</v>
      </c>
    </row>
    <row r="78" spans="1:13" x14ac:dyDescent="0.3">
      <c r="A78" s="14">
        <v>1077</v>
      </c>
      <c r="B78" s="10">
        <v>45534</v>
      </c>
      <c r="C78" s="1" t="s">
        <v>8</v>
      </c>
      <c r="D78" s="1" t="s">
        <v>9</v>
      </c>
      <c r="E78" s="1" t="s">
        <v>10</v>
      </c>
      <c r="F78" s="2" t="s">
        <v>11</v>
      </c>
      <c r="G78" s="3">
        <v>2</v>
      </c>
      <c r="H78" s="16">
        <v>2500</v>
      </c>
      <c r="I78">
        <f t="shared" si="10"/>
        <v>5000</v>
      </c>
      <c r="J78">
        <f t="shared" si="11"/>
        <v>1000</v>
      </c>
      <c r="K78" t="str">
        <f t="shared" si="12"/>
        <v>Aug</v>
      </c>
      <c r="L78" s="32" t="str">
        <f t="shared" si="13"/>
        <v>Q3</v>
      </c>
      <c r="M78" s="32" t="str">
        <f t="shared" si="14"/>
        <v>Normal</v>
      </c>
    </row>
    <row r="79" spans="1:13" x14ac:dyDescent="0.3">
      <c r="A79" s="15">
        <v>1078</v>
      </c>
      <c r="B79" s="11">
        <v>45362</v>
      </c>
      <c r="C79" s="4" t="s">
        <v>12</v>
      </c>
      <c r="D79" s="4" t="s">
        <v>13</v>
      </c>
      <c r="E79" s="4" t="s">
        <v>20</v>
      </c>
      <c r="F79" s="5" t="s">
        <v>21</v>
      </c>
      <c r="G79" s="6">
        <v>12</v>
      </c>
      <c r="H79" s="17">
        <v>2200</v>
      </c>
      <c r="I79">
        <f t="shared" si="10"/>
        <v>26400</v>
      </c>
      <c r="J79">
        <f t="shared" si="11"/>
        <v>5280</v>
      </c>
      <c r="K79" t="str">
        <f t="shared" si="12"/>
        <v>Mar</v>
      </c>
      <c r="L79" s="32" t="str">
        <f t="shared" si="13"/>
        <v>Q1</v>
      </c>
      <c r="M79" s="32" t="str">
        <f t="shared" si="14"/>
        <v>High Value</v>
      </c>
    </row>
    <row r="80" spans="1:13" x14ac:dyDescent="0.3">
      <c r="A80" s="14">
        <v>1079</v>
      </c>
      <c r="B80" s="13">
        <v>45549</v>
      </c>
      <c r="C80" s="1" t="s">
        <v>25</v>
      </c>
      <c r="D80" s="1" t="s">
        <v>26</v>
      </c>
      <c r="E80" s="1" t="s">
        <v>10</v>
      </c>
      <c r="F80" s="2" t="s">
        <v>32</v>
      </c>
      <c r="G80" s="3">
        <v>4</v>
      </c>
      <c r="H80" s="16">
        <v>8500</v>
      </c>
      <c r="I80">
        <f t="shared" si="10"/>
        <v>34000</v>
      </c>
      <c r="J80">
        <f t="shared" si="11"/>
        <v>6800</v>
      </c>
      <c r="K80" t="str">
        <f t="shared" si="12"/>
        <v>Sep</v>
      </c>
      <c r="L80" s="32" t="str">
        <f t="shared" si="13"/>
        <v>Q3</v>
      </c>
      <c r="M80" s="32" t="str">
        <f t="shared" si="14"/>
        <v>High Value</v>
      </c>
    </row>
    <row r="81" spans="1:13" x14ac:dyDescent="0.3">
      <c r="A81" s="15">
        <v>1080</v>
      </c>
      <c r="B81" s="11" t="s">
        <v>36</v>
      </c>
      <c r="C81" s="4" t="s">
        <v>22</v>
      </c>
      <c r="D81" s="4" t="s">
        <v>9</v>
      </c>
      <c r="E81" s="4" t="s">
        <v>15</v>
      </c>
      <c r="F81" s="5" t="s">
        <v>16</v>
      </c>
      <c r="G81" s="6">
        <v>1</v>
      </c>
      <c r="H81" s="17">
        <v>650</v>
      </c>
      <c r="I81">
        <f t="shared" si="10"/>
        <v>650</v>
      </c>
      <c r="J81">
        <f t="shared" si="11"/>
        <v>130</v>
      </c>
      <c r="K81" t="str">
        <f t="shared" si="12"/>
        <v>Oct</v>
      </c>
      <c r="L81" s="32" t="str">
        <f t="shared" si="13"/>
        <v>Q4</v>
      </c>
      <c r="M81" s="32" t="str">
        <f t="shared" si="14"/>
        <v>Normal</v>
      </c>
    </row>
    <row r="82" spans="1:13" x14ac:dyDescent="0.3">
      <c r="A82" s="14">
        <v>1081</v>
      </c>
      <c r="B82" s="10">
        <v>45437</v>
      </c>
      <c r="C82" s="1" t="s">
        <v>8</v>
      </c>
      <c r="D82" s="1" t="s">
        <v>9</v>
      </c>
      <c r="E82" s="1" t="s">
        <v>10</v>
      </c>
      <c r="F82" s="2" t="s">
        <v>14</v>
      </c>
      <c r="G82" s="3">
        <v>2</v>
      </c>
      <c r="H82" s="16">
        <v>2800</v>
      </c>
      <c r="I82">
        <f t="shared" si="10"/>
        <v>5600</v>
      </c>
      <c r="J82">
        <f t="shared" si="11"/>
        <v>1120</v>
      </c>
      <c r="K82" t="str">
        <f t="shared" si="12"/>
        <v>May</v>
      </c>
      <c r="L82" s="32" t="str">
        <f t="shared" si="13"/>
        <v>Q2</v>
      </c>
      <c r="M82" s="32" t="str">
        <f t="shared" si="14"/>
        <v>Normal</v>
      </c>
    </row>
    <row r="83" spans="1:13" x14ac:dyDescent="0.3">
      <c r="A83" s="15">
        <v>1082</v>
      </c>
      <c r="B83" s="11">
        <v>45545</v>
      </c>
      <c r="C83" s="4" t="s">
        <v>8</v>
      </c>
      <c r="D83" s="4" t="s">
        <v>9</v>
      </c>
      <c r="E83" s="4" t="s">
        <v>15</v>
      </c>
      <c r="F83" s="5" t="s">
        <v>17</v>
      </c>
      <c r="G83" s="6">
        <v>7</v>
      </c>
      <c r="H83" s="17">
        <v>7500</v>
      </c>
      <c r="I83">
        <f t="shared" si="10"/>
        <v>52500</v>
      </c>
      <c r="J83">
        <f t="shared" si="11"/>
        <v>10500</v>
      </c>
      <c r="K83" t="str">
        <f t="shared" si="12"/>
        <v>Sep</v>
      </c>
      <c r="L83" s="32" t="str">
        <f t="shared" si="13"/>
        <v>Q3</v>
      </c>
      <c r="M83" s="32" t="str">
        <f t="shared" si="14"/>
        <v>High Value</v>
      </c>
    </row>
    <row r="84" spans="1:13" x14ac:dyDescent="0.3">
      <c r="A84" s="14">
        <v>1083</v>
      </c>
      <c r="B84" s="10">
        <v>45354</v>
      </c>
      <c r="C84" s="1" t="s">
        <v>19</v>
      </c>
      <c r="D84" s="1" t="s">
        <v>13</v>
      </c>
      <c r="E84" s="1" t="s">
        <v>10</v>
      </c>
      <c r="F84" s="2" t="s">
        <v>32</v>
      </c>
      <c r="G84" s="3">
        <v>12</v>
      </c>
      <c r="H84" s="16">
        <v>8500</v>
      </c>
      <c r="I84">
        <f t="shared" si="10"/>
        <v>102000</v>
      </c>
      <c r="J84">
        <f t="shared" si="11"/>
        <v>20400</v>
      </c>
      <c r="K84" t="str">
        <f t="shared" si="12"/>
        <v>Mar</v>
      </c>
      <c r="L84" s="32" t="str">
        <f t="shared" si="13"/>
        <v>Q1</v>
      </c>
      <c r="M84" s="32" t="str">
        <f t="shared" si="14"/>
        <v>High Value</v>
      </c>
    </row>
    <row r="85" spans="1:13" x14ac:dyDescent="0.3">
      <c r="A85" s="15">
        <v>1084</v>
      </c>
      <c r="B85" s="11">
        <v>45586</v>
      </c>
      <c r="C85" s="4" t="s">
        <v>25</v>
      </c>
      <c r="D85" s="4" t="s">
        <v>26</v>
      </c>
      <c r="E85" s="4" t="s">
        <v>20</v>
      </c>
      <c r="F85" s="5" t="s">
        <v>35</v>
      </c>
      <c r="G85" s="6">
        <v>2</v>
      </c>
      <c r="H85" s="17">
        <v>1400</v>
      </c>
      <c r="I85">
        <f t="shared" si="10"/>
        <v>2800</v>
      </c>
      <c r="J85">
        <f t="shared" si="11"/>
        <v>560</v>
      </c>
      <c r="K85" t="str">
        <f t="shared" si="12"/>
        <v>Oct</v>
      </c>
      <c r="L85" s="32" t="str">
        <f t="shared" si="13"/>
        <v>Q4</v>
      </c>
      <c r="M85" s="32" t="str">
        <f t="shared" si="14"/>
        <v>Normal</v>
      </c>
    </row>
    <row r="86" spans="1:13" x14ac:dyDescent="0.3">
      <c r="A86" s="14">
        <v>1085</v>
      </c>
      <c r="B86" s="10">
        <v>45567</v>
      </c>
      <c r="C86" s="1" t="s">
        <v>12</v>
      </c>
      <c r="D86" s="1" t="s">
        <v>13</v>
      </c>
      <c r="E86" s="1" t="s">
        <v>10</v>
      </c>
      <c r="F86" s="2" t="s">
        <v>32</v>
      </c>
      <c r="G86" s="3">
        <v>1</v>
      </c>
      <c r="H86" s="16">
        <v>8500</v>
      </c>
      <c r="I86">
        <f t="shared" si="10"/>
        <v>8500</v>
      </c>
      <c r="J86">
        <f t="shared" si="11"/>
        <v>1700</v>
      </c>
      <c r="K86" t="str">
        <f t="shared" si="12"/>
        <v>Oct</v>
      </c>
      <c r="L86" s="32" t="str">
        <f t="shared" si="13"/>
        <v>Q4</v>
      </c>
      <c r="M86" s="32" t="str">
        <f t="shared" si="14"/>
        <v>Normal</v>
      </c>
    </row>
    <row r="87" spans="1:13" x14ac:dyDescent="0.3">
      <c r="A87" s="15">
        <v>1086</v>
      </c>
      <c r="B87" s="11">
        <v>45408</v>
      </c>
      <c r="C87" s="4" t="s">
        <v>28</v>
      </c>
      <c r="D87" s="4" t="s">
        <v>29</v>
      </c>
      <c r="E87" s="4" t="s">
        <v>15</v>
      </c>
      <c r="F87" s="5" t="s">
        <v>34</v>
      </c>
      <c r="G87" s="6">
        <v>3</v>
      </c>
      <c r="H87" s="17">
        <v>1500</v>
      </c>
      <c r="I87">
        <f t="shared" si="10"/>
        <v>4500</v>
      </c>
      <c r="J87">
        <f t="shared" si="11"/>
        <v>900</v>
      </c>
      <c r="K87" t="str">
        <f t="shared" si="12"/>
        <v>Apr</v>
      </c>
      <c r="L87" s="32" t="str">
        <f t="shared" si="13"/>
        <v>Q2</v>
      </c>
      <c r="M87" s="32" t="str">
        <f t="shared" si="14"/>
        <v>Normal</v>
      </c>
    </row>
    <row r="88" spans="1:13" x14ac:dyDescent="0.3">
      <c r="A88" s="14">
        <v>1087</v>
      </c>
      <c r="B88" s="10">
        <v>45298</v>
      </c>
      <c r="C88" s="1" t="s">
        <v>25</v>
      </c>
      <c r="D88" s="1" t="s">
        <v>26</v>
      </c>
      <c r="E88" s="1" t="s">
        <v>20</v>
      </c>
      <c r="F88" s="2" t="s">
        <v>23</v>
      </c>
      <c r="G88" s="3">
        <v>12</v>
      </c>
      <c r="H88" s="16">
        <v>1100</v>
      </c>
      <c r="I88">
        <f t="shared" si="10"/>
        <v>13200</v>
      </c>
      <c r="J88">
        <f t="shared" si="11"/>
        <v>2640</v>
      </c>
      <c r="K88" t="str">
        <f t="shared" si="12"/>
        <v>Jan</v>
      </c>
      <c r="L88" s="32" t="str">
        <f t="shared" si="13"/>
        <v>Q1</v>
      </c>
      <c r="M88" s="32" t="str">
        <f t="shared" si="14"/>
        <v>High Value</v>
      </c>
    </row>
    <row r="89" spans="1:13" x14ac:dyDescent="0.3">
      <c r="A89" s="15">
        <v>1088</v>
      </c>
      <c r="B89" s="11">
        <v>45310</v>
      </c>
      <c r="C89" s="4" t="s">
        <v>19</v>
      </c>
      <c r="D89" s="4" t="s">
        <v>13</v>
      </c>
      <c r="E89" s="4" t="s">
        <v>15</v>
      </c>
      <c r="F89" s="5" t="s">
        <v>27</v>
      </c>
      <c r="G89" s="6">
        <v>11</v>
      </c>
      <c r="H89" s="17">
        <v>3200</v>
      </c>
      <c r="I89">
        <f t="shared" si="10"/>
        <v>35200</v>
      </c>
      <c r="J89">
        <f t="shared" si="11"/>
        <v>7040</v>
      </c>
      <c r="K89" t="str">
        <f t="shared" si="12"/>
        <v>Jan</v>
      </c>
      <c r="L89" s="32" t="str">
        <f t="shared" si="13"/>
        <v>Q1</v>
      </c>
      <c r="M89" s="32" t="str">
        <f t="shared" si="14"/>
        <v>High Value</v>
      </c>
    </row>
    <row r="90" spans="1:13" x14ac:dyDescent="0.3">
      <c r="A90" s="14">
        <v>1089</v>
      </c>
      <c r="B90" s="10">
        <v>45641</v>
      </c>
      <c r="C90" s="1" t="s">
        <v>25</v>
      </c>
      <c r="D90" s="1" t="s">
        <v>26</v>
      </c>
      <c r="E90" s="1" t="s">
        <v>20</v>
      </c>
      <c r="F90" s="2" t="s">
        <v>35</v>
      </c>
      <c r="G90" s="3">
        <v>4</v>
      </c>
      <c r="H90" s="16">
        <v>1400</v>
      </c>
      <c r="I90">
        <f t="shared" si="10"/>
        <v>5600</v>
      </c>
      <c r="J90">
        <f t="shared" si="11"/>
        <v>1120</v>
      </c>
      <c r="K90" t="str">
        <f t="shared" si="12"/>
        <v>Dec</v>
      </c>
      <c r="L90" s="32" t="str">
        <f t="shared" si="13"/>
        <v>Q4</v>
      </c>
      <c r="M90" s="32" t="str">
        <f t="shared" si="14"/>
        <v>Normal</v>
      </c>
    </row>
    <row r="91" spans="1:13" x14ac:dyDescent="0.3">
      <c r="A91" s="15">
        <v>1090</v>
      </c>
      <c r="B91" s="11">
        <v>45626</v>
      </c>
      <c r="C91" s="4" t="s">
        <v>28</v>
      </c>
      <c r="D91" s="4" t="s">
        <v>29</v>
      </c>
      <c r="E91" s="4" t="s">
        <v>15</v>
      </c>
      <c r="F91" s="5" t="s">
        <v>27</v>
      </c>
      <c r="G91" s="6">
        <v>8</v>
      </c>
      <c r="H91" s="17">
        <v>3200</v>
      </c>
      <c r="I91">
        <f t="shared" si="10"/>
        <v>25600</v>
      </c>
      <c r="J91">
        <f t="shared" si="11"/>
        <v>5120</v>
      </c>
      <c r="K91" t="str">
        <f t="shared" si="12"/>
        <v>Nov</v>
      </c>
      <c r="L91" s="32" t="str">
        <f t="shared" si="13"/>
        <v>Q4</v>
      </c>
      <c r="M91" s="32" t="str">
        <f t="shared" si="14"/>
        <v>High Value</v>
      </c>
    </row>
    <row r="92" spans="1:13" x14ac:dyDescent="0.3">
      <c r="A92" s="14">
        <v>1091</v>
      </c>
      <c r="B92" s="10">
        <v>45336</v>
      </c>
      <c r="C92" s="1" t="s">
        <v>25</v>
      </c>
      <c r="D92" s="1" t="s">
        <v>26</v>
      </c>
      <c r="E92" s="1" t="s">
        <v>10</v>
      </c>
      <c r="F92" s="2" t="s">
        <v>32</v>
      </c>
      <c r="G92" s="3">
        <v>4</v>
      </c>
      <c r="H92" s="16">
        <v>8500</v>
      </c>
      <c r="I92">
        <f t="shared" si="10"/>
        <v>34000</v>
      </c>
      <c r="J92">
        <f t="shared" si="11"/>
        <v>6800</v>
      </c>
      <c r="K92" t="str">
        <f t="shared" si="12"/>
        <v>Feb</v>
      </c>
      <c r="L92" s="32" t="str">
        <f t="shared" si="13"/>
        <v>Q1</v>
      </c>
      <c r="M92" s="32" t="str">
        <f t="shared" si="14"/>
        <v>High Value</v>
      </c>
    </row>
    <row r="93" spans="1:13" x14ac:dyDescent="0.3">
      <c r="A93" s="15">
        <v>1092</v>
      </c>
      <c r="B93" s="11">
        <v>45635</v>
      </c>
      <c r="C93" s="4" t="s">
        <v>12</v>
      </c>
      <c r="D93" s="4" t="s">
        <v>13</v>
      </c>
      <c r="E93" s="4" t="s">
        <v>20</v>
      </c>
      <c r="F93" s="5" t="s">
        <v>35</v>
      </c>
      <c r="G93" s="6">
        <v>2</v>
      </c>
      <c r="H93" s="17">
        <v>1400</v>
      </c>
      <c r="I93">
        <f t="shared" si="10"/>
        <v>2800</v>
      </c>
      <c r="J93">
        <f t="shared" si="11"/>
        <v>560</v>
      </c>
      <c r="K93" t="str">
        <f t="shared" si="12"/>
        <v>Dec</v>
      </c>
      <c r="L93" s="32" t="str">
        <f t="shared" si="13"/>
        <v>Q4</v>
      </c>
      <c r="M93" s="32" t="str">
        <f t="shared" si="14"/>
        <v>Normal</v>
      </c>
    </row>
    <row r="94" spans="1:13" x14ac:dyDescent="0.3">
      <c r="A94" s="14">
        <v>1093</v>
      </c>
      <c r="B94" s="10">
        <v>45634</v>
      </c>
      <c r="C94" s="1" t="s">
        <v>12</v>
      </c>
      <c r="D94" s="1" t="s">
        <v>13</v>
      </c>
      <c r="E94" s="1" t="s">
        <v>10</v>
      </c>
      <c r="F94" s="2" t="s">
        <v>14</v>
      </c>
      <c r="G94" s="3">
        <v>5</v>
      </c>
      <c r="H94" s="16">
        <v>2800</v>
      </c>
      <c r="I94">
        <f t="shared" si="10"/>
        <v>14000</v>
      </c>
      <c r="J94">
        <f t="shared" si="11"/>
        <v>2800</v>
      </c>
      <c r="K94" t="str">
        <f t="shared" si="12"/>
        <v>Dec</v>
      </c>
      <c r="L94" s="32" t="str">
        <f t="shared" si="13"/>
        <v>Q4</v>
      </c>
      <c r="M94" s="32" t="str">
        <f t="shared" si="14"/>
        <v>High Value</v>
      </c>
    </row>
    <row r="95" spans="1:13" x14ac:dyDescent="0.3">
      <c r="A95" s="15">
        <v>1094</v>
      </c>
      <c r="B95" s="11">
        <v>45378</v>
      </c>
      <c r="C95" s="4" t="s">
        <v>28</v>
      </c>
      <c r="D95" s="4" t="s">
        <v>29</v>
      </c>
      <c r="E95" s="4" t="s">
        <v>15</v>
      </c>
      <c r="F95" s="5" t="s">
        <v>17</v>
      </c>
      <c r="G95" s="6">
        <v>14</v>
      </c>
      <c r="H95" s="17">
        <v>7500</v>
      </c>
      <c r="I95">
        <f t="shared" si="10"/>
        <v>105000</v>
      </c>
      <c r="J95">
        <f t="shared" si="11"/>
        <v>21000</v>
      </c>
      <c r="K95" t="str">
        <f t="shared" si="12"/>
        <v>Mar</v>
      </c>
      <c r="L95" s="32" t="str">
        <f t="shared" si="13"/>
        <v>Q1</v>
      </c>
      <c r="M95" s="32" t="str">
        <f t="shared" si="14"/>
        <v>High Value</v>
      </c>
    </row>
    <row r="96" spans="1:13" x14ac:dyDescent="0.3">
      <c r="A96" s="14">
        <v>1095</v>
      </c>
      <c r="B96" s="10">
        <v>45347</v>
      </c>
      <c r="C96" s="1" t="s">
        <v>8</v>
      </c>
      <c r="D96" s="1" t="s">
        <v>9</v>
      </c>
      <c r="E96" s="1" t="s">
        <v>10</v>
      </c>
      <c r="F96" s="2" t="s">
        <v>32</v>
      </c>
      <c r="G96" s="3">
        <v>9</v>
      </c>
      <c r="H96" s="16">
        <v>8500</v>
      </c>
      <c r="I96">
        <f t="shared" si="10"/>
        <v>76500</v>
      </c>
      <c r="J96">
        <f t="shared" si="11"/>
        <v>15300</v>
      </c>
      <c r="K96" t="str">
        <f t="shared" si="12"/>
        <v>Feb</v>
      </c>
      <c r="L96" s="32" t="str">
        <f t="shared" si="13"/>
        <v>Q1</v>
      </c>
      <c r="M96" s="32" t="str">
        <f t="shared" si="14"/>
        <v>High Value</v>
      </c>
    </row>
    <row r="97" spans="1:13" x14ac:dyDescent="0.3">
      <c r="A97" s="15">
        <v>1096</v>
      </c>
      <c r="B97" s="11">
        <v>45405</v>
      </c>
      <c r="C97" s="4" t="s">
        <v>28</v>
      </c>
      <c r="D97" s="4" t="s">
        <v>29</v>
      </c>
      <c r="E97" s="4" t="s">
        <v>20</v>
      </c>
      <c r="F97" s="5" t="s">
        <v>33</v>
      </c>
      <c r="G97" s="6">
        <v>6</v>
      </c>
      <c r="H97" s="17">
        <v>1800</v>
      </c>
      <c r="I97">
        <f t="shared" si="10"/>
        <v>10800</v>
      </c>
      <c r="J97">
        <f t="shared" si="11"/>
        <v>2160</v>
      </c>
      <c r="K97" t="str">
        <f t="shared" si="12"/>
        <v>Apr</v>
      </c>
      <c r="L97" s="32" t="str">
        <f t="shared" si="13"/>
        <v>Q2</v>
      </c>
      <c r="M97" s="32" t="str">
        <f t="shared" si="14"/>
        <v>High Value</v>
      </c>
    </row>
    <row r="98" spans="1:13" x14ac:dyDescent="0.3">
      <c r="A98" s="14">
        <v>1097</v>
      </c>
      <c r="B98" s="10">
        <v>45534</v>
      </c>
      <c r="C98" s="1" t="s">
        <v>8</v>
      </c>
      <c r="D98" s="1" t="s">
        <v>9</v>
      </c>
      <c r="E98" s="1" t="s">
        <v>10</v>
      </c>
      <c r="F98" s="2" t="s">
        <v>24</v>
      </c>
      <c r="G98" s="3">
        <v>9</v>
      </c>
      <c r="H98" s="16">
        <v>3200</v>
      </c>
      <c r="I98">
        <f t="shared" ref="I98:I129" si="15">G98*H98</f>
        <v>28800</v>
      </c>
      <c r="J98">
        <f t="shared" ref="J98:J129" si="16">I98*20%</f>
        <v>5760</v>
      </c>
      <c r="K98" t="str">
        <f t="shared" ref="K98:K129" si="17">TEXT(B98,"MMM")</f>
        <v>Aug</v>
      </c>
      <c r="L98" s="32" t="str">
        <f t="shared" ref="L98:L129" si="18">IF(MONTH(B98)&lt;=3,"Q1",IF(MONTH(B98)&lt;=6,"Q2",IF(MONTH(B98)&lt;=9,"Q3","Q4")))</f>
        <v>Q3</v>
      </c>
      <c r="M98" s="32" t="str">
        <f t="shared" ref="M98:M129" si="19">IF(I98&gt;10000,"High Value","Normal")</f>
        <v>High Value</v>
      </c>
    </row>
    <row r="99" spans="1:13" x14ac:dyDescent="0.3">
      <c r="A99" s="15">
        <v>1098</v>
      </c>
      <c r="B99" s="11">
        <v>45448</v>
      </c>
      <c r="C99" s="4" t="s">
        <v>28</v>
      </c>
      <c r="D99" s="4" t="s">
        <v>29</v>
      </c>
      <c r="E99" s="4" t="s">
        <v>15</v>
      </c>
      <c r="F99" s="5" t="s">
        <v>27</v>
      </c>
      <c r="G99" s="6">
        <v>8</v>
      </c>
      <c r="H99" s="17">
        <v>3200</v>
      </c>
      <c r="I99">
        <f t="shared" si="15"/>
        <v>25600</v>
      </c>
      <c r="J99">
        <f t="shared" si="16"/>
        <v>5120</v>
      </c>
      <c r="K99" t="str">
        <f t="shared" si="17"/>
        <v>Jun</v>
      </c>
      <c r="L99" s="32" t="str">
        <f t="shared" si="18"/>
        <v>Q2</v>
      </c>
      <c r="M99" s="32" t="str">
        <f t="shared" si="19"/>
        <v>High Value</v>
      </c>
    </row>
    <row r="100" spans="1:13" x14ac:dyDescent="0.3">
      <c r="A100" s="15">
        <v>1099</v>
      </c>
      <c r="B100" s="11">
        <v>45512</v>
      </c>
      <c r="C100" s="4" t="s">
        <v>22</v>
      </c>
      <c r="D100" s="4" t="s">
        <v>9</v>
      </c>
      <c r="E100" s="4" t="s">
        <v>10</v>
      </c>
      <c r="F100" s="5" t="s">
        <v>11</v>
      </c>
      <c r="G100" s="6">
        <v>8</v>
      </c>
      <c r="H100" s="17">
        <v>2500</v>
      </c>
      <c r="I100">
        <f t="shared" si="15"/>
        <v>20000</v>
      </c>
      <c r="J100">
        <f t="shared" si="16"/>
        <v>4000</v>
      </c>
      <c r="K100" t="str">
        <f t="shared" si="17"/>
        <v>Aug</v>
      </c>
      <c r="L100" s="32" t="str">
        <f t="shared" si="18"/>
        <v>Q3</v>
      </c>
      <c r="M100" s="32" t="str">
        <f t="shared" si="19"/>
        <v>High Value</v>
      </c>
    </row>
    <row r="101" spans="1:13" x14ac:dyDescent="0.3">
      <c r="A101" s="14">
        <v>1100</v>
      </c>
      <c r="B101" s="10">
        <v>45420</v>
      </c>
      <c r="C101" s="1" t="s">
        <v>28</v>
      </c>
      <c r="D101" s="1" t="s">
        <v>29</v>
      </c>
      <c r="E101" s="1" t="s">
        <v>10</v>
      </c>
      <c r="F101" s="2" t="s">
        <v>32</v>
      </c>
      <c r="G101" s="3">
        <v>9</v>
      </c>
      <c r="H101" s="16">
        <v>8500</v>
      </c>
      <c r="I101">
        <f t="shared" si="15"/>
        <v>76500</v>
      </c>
      <c r="J101">
        <f t="shared" si="16"/>
        <v>15300</v>
      </c>
      <c r="K101" t="str">
        <f t="shared" si="17"/>
        <v>May</v>
      </c>
      <c r="L101" s="32" t="str">
        <f t="shared" si="18"/>
        <v>Q2</v>
      </c>
      <c r="M101" s="32" t="str">
        <f t="shared" si="19"/>
        <v>High Value</v>
      </c>
    </row>
    <row r="102" spans="1:13" x14ac:dyDescent="0.3">
      <c r="A102" s="15">
        <v>1101</v>
      </c>
      <c r="B102" s="11">
        <v>45565</v>
      </c>
      <c r="C102" s="4" t="s">
        <v>28</v>
      </c>
      <c r="D102" s="4" t="s">
        <v>29</v>
      </c>
      <c r="E102" s="4" t="s">
        <v>10</v>
      </c>
      <c r="F102" s="5" t="s">
        <v>14</v>
      </c>
      <c r="G102" s="6">
        <v>15</v>
      </c>
      <c r="H102" s="17">
        <v>2800</v>
      </c>
      <c r="I102">
        <f t="shared" si="15"/>
        <v>42000</v>
      </c>
      <c r="J102">
        <f t="shared" si="16"/>
        <v>8400</v>
      </c>
      <c r="K102" t="str">
        <f t="shared" si="17"/>
        <v>Sep</v>
      </c>
      <c r="L102" s="32" t="str">
        <f t="shared" si="18"/>
        <v>Q3</v>
      </c>
      <c r="M102" s="32" t="str">
        <f t="shared" si="19"/>
        <v>High Value</v>
      </c>
    </row>
    <row r="103" spans="1:13" x14ac:dyDescent="0.3">
      <c r="A103" s="14">
        <v>1102</v>
      </c>
      <c r="B103" s="10">
        <v>45584</v>
      </c>
      <c r="C103" s="1" t="s">
        <v>22</v>
      </c>
      <c r="D103" s="1" t="s">
        <v>9</v>
      </c>
      <c r="E103" s="1" t="s">
        <v>15</v>
      </c>
      <c r="F103" s="2" t="s">
        <v>27</v>
      </c>
      <c r="G103" s="3">
        <v>5</v>
      </c>
      <c r="H103" s="16">
        <v>3200</v>
      </c>
      <c r="I103">
        <f t="shared" si="15"/>
        <v>16000</v>
      </c>
      <c r="J103">
        <f t="shared" si="16"/>
        <v>3200</v>
      </c>
      <c r="K103" t="str">
        <f t="shared" si="17"/>
        <v>Oct</v>
      </c>
      <c r="L103" s="32" t="str">
        <f t="shared" si="18"/>
        <v>Q4</v>
      </c>
      <c r="M103" s="32" t="str">
        <f t="shared" si="19"/>
        <v>High Value</v>
      </c>
    </row>
    <row r="104" spans="1:13" x14ac:dyDescent="0.3">
      <c r="A104" s="15">
        <v>1103</v>
      </c>
      <c r="B104" s="11">
        <v>45544</v>
      </c>
      <c r="C104" s="4" t="s">
        <v>22</v>
      </c>
      <c r="D104" s="4" t="s">
        <v>9</v>
      </c>
      <c r="E104" s="4" t="s">
        <v>15</v>
      </c>
      <c r="F104" s="5" t="s">
        <v>16</v>
      </c>
      <c r="G104" s="6">
        <v>6</v>
      </c>
      <c r="H104" s="17">
        <v>650</v>
      </c>
      <c r="I104">
        <f t="shared" si="15"/>
        <v>3900</v>
      </c>
      <c r="J104">
        <f t="shared" si="16"/>
        <v>780</v>
      </c>
      <c r="K104" t="str">
        <f t="shared" si="17"/>
        <v>Sep</v>
      </c>
      <c r="L104" s="32" t="str">
        <f t="shared" si="18"/>
        <v>Q3</v>
      </c>
      <c r="M104" s="32" t="str">
        <f t="shared" si="19"/>
        <v>Normal</v>
      </c>
    </row>
    <row r="105" spans="1:13" x14ac:dyDescent="0.3">
      <c r="A105" s="14">
        <v>1104</v>
      </c>
      <c r="B105" s="10">
        <v>45309</v>
      </c>
      <c r="C105" s="1" t="s">
        <v>28</v>
      </c>
      <c r="D105" s="1" t="s">
        <v>29</v>
      </c>
      <c r="E105" s="1" t="s">
        <v>15</v>
      </c>
      <c r="F105" s="2" t="s">
        <v>16</v>
      </c>
      <c r="G105" s="3">
        <v>2</v>
      </c>
      <c r="H105" s="16">
        <v>650</v>
      </c>
      <c r="I105">
        <f t="shared" si="15"/>
        <v>1300</v>
      </c>
      <c r="J105">
        <f t="shared" si="16"/>
        <v>260</v>
      </c>
      <c r="K105" t="str">
        <f t="shared" si="17"/>
        <v>Jan</v>
      </c>
      <c r="L105" s="32" t="str">
        <f t="shared" si="18"/>
        <v>Q1</v>
      </c>
      <c r="M105" s="32" t="str">
        <f t="shared" si="19"/>
        <v>Normal</v>
      </c>
    </row>
    <row r="106" spans="1:13" x14ac:dyDescent="0.3">
      <c r="A106" s="15">
        <v>1105</v>
      </c>
      <c r="B106" s="11">
        <v>45393</v>
      </c>
      <c r="C106" s="4" t="s">
        <v>22</v>
      </c>
      <c r="D106" s="4" t="s">
        <v>9</v>
      </c>
      <c r="E106" s="4" t="s">
        <v>15</v>
      </c>
      <c r="F106" s="5" t="s">
        <v>27</v>
      </c>
      <c r="G106" s="6">
        <v>14</v>
      </c>
      <c r="H106" s="17">
        <v>3200</v>
      </c>
      <c r="I106">
        <f t="shared" si="15"/>
        <v>44800</v>
      </c>
      <c r="J106">
        <f t="shared" si="16"/>
        <v>8960</v>
      </c>
      <c r="K106" t="str">
        <f t="shared" si="17"/>
        <v>Apr</v>
      </c>
      <c r="L106" s="32" t="str">
        <f t="shared" si="18"/>
        <v>Q2</v>
      </c>
      <c r="M106" s="32" t="str">
        <f t="shared" si="19"/>
        <v>High Value</v>
      </c>
    </row>
    <row r="107" spans="1:13" x14ac:dyDescent="0.3">
      <c r="A107" s="14">
        <v>1106</v>
      </c>
      <c r="B107" s="10">
        <v>45451</v>
      </c>
      <c r="C107" s="1" t="s">
        <v>19</v>
      </c>
      <c r="D107" s="1" t="s">
        <v>13</v>
      </c>
      <c r="E107" s="1" t="s">
        <v>20</v>
      </c>
      <c r="F107" s="2" t="s">
        <v>35</v>
      </c>
      <c r="G107" s="3">
        <v>10</v>
      </c>
      <c r="H107" s="16">
        <v>1400</v>
      </c>
      <c r="I107">
        <f t="shared" si="15"/>
        <v>14000</v>
      </c>
      <c r="J107">
        <f t="shared" si="16"/>
        <v>2800</v>
      </c>
      <c r="K107" t="str">
        <f t="shared" si="17"/>
        <v>Jun</v>
      </c>
      <c r="L107" s="32" t="str">
        <f t="shared" si="18"/>
        <v>Q2</v>
      </c>
      <c r="M107" s="32" t="str">
        <f t="shared" si="19"/>
        <v>High Value</v>
      </c>
    </row>
    <row r="108" spans="1:13" x14ac:dyDescent="0.3">
      <c r="A108" s="15">
        <v>1107</v>
      </c>
      <c r="B108" s="11">
        <v>45373</v>
      </c>
      <c r="C108" s="4" t="s">
        <v>25</v>
      </c>
      <c r="D108" s="4" t="s">
        <v>26</v>
      </c>
      <c r="E108" s="4" t="s">
        <v>10</v>
      </c>
      <c r="F108" s="5" t="s">
        <v>18</v>
      </c>
      <c r="G108" s="6">
        <v>14</v>
      </c>
      <c r="H108" s="17">
        <v>1200</v>
      </c>
      <c r="I108">
        <f t="shared" si="15"/>
        <v>16800</v>
      </c>
      <c r="J108">
        <f t="shared" si="16"/>
        <v>3360</v>
      </c>
      <c r="K108" t="str">
        <f t="shared" si="17"/>
        <v>Mar</v>
      </c>
      <c r="L108" s="32" t="str">
        <f t="shared" si="18"/>
        <v>Q1</v>
      </c>
      <c r="M108" s="32" t="str">
        <f t="shared" si="19"/>
        <v>High Value</v>
      </c>
    </row>
    <row r="109" spans="1:13" x14ac:dyDescent="0.3">
      <c r="A109" s="14">
        <v>1108</v>
      </c>
      <c r="B109" s="10">
        <v>45439</v>
      </c>
      <c r="C109" s="1" t="s">
        <v>28</v>
      </c>
      <c r="D109" s="1" t="s">
        <v>29</v>
      </c>
      <c r="E109" s="1" t="s">
        <v>10</v>
      </c>
      <c r="F109" s="2" t="s">
        <v>32</v>
      </c>
      <c r="G109" s="3">
        <v>7</v>
      </c>
      <c r="H109" s="16">
        <v>8500</v>
      </c>
      <c r="I109">
        <f t="shared" si="15"/>
        <v>59500</v>
      </c>
      <c r="J109">
        <f t="shared" si="16"/>
        <v>11900</v>
      </c>
      <c r="K109" t="str">
        <f t="shared" si="17"/>
        <v>May</v>
      </c>
      <c r="L109" s="32" t="str">
        <f t="shared" si="18"/>
        <v>Q2</v>
      </c>
      <c r="M109" s="32" t="str">
        <f t="shared" si="19"/>
        <v>High Value</v>
      </c>
    </row>
    <row r="110" spans="1:13" x14ac:dyDescent="0.3">
      <c r="A110" s="15">
        <v>1109</v>
      </c>
      <c r="B110" s="11">
        <v>45527</v>
      </c>
      <c r="C110" s="4" t="s">
        <v>12</v>
      </c>
      <c r="D110" s="4" t="s">
        <v>13</v>
      </c>
      <c r="E110" s="4" t="s">
        <v>10</v>
      </c>
      <c r="F110" s="5" t="s">
        <v>14</v>
      </c>
      <c r="G110" s="6">
        <v>9</v>
      </c>
      <c r="H110" s="17">
        <v>2800</v>
      </c>
      <c r="I110">
        <f t="shared" si="15"/>
        <v>25200</v>
      </c>
      <c r="J110">
        <f t="shared" si="16"/>
        <v>5040</v>
      </c>
      <c r="K110" t="str">
        <f t="shared" si="17"/>
        <v>Aug</v>
      </c>
      <c r="L110" s="32" t="str">
        <f t="shared" si="18"/>
        <v>Q3</v>
      </c>
      <c r="M110" s="32" t="str">
        <f t="shared" si="19"/>
        <v>High Value</v>
      </c>
    </row>
    <row r="111" spans="1:13" x14ac:dyDescent="0.3">
      <c r="A111" s="14">
        <v>1110</v>
      </c>
      <c r="B111" s="10">
        <v>45332</v>
      </c>
      <c r="C111" s="1" t="s">
        <v>19</v>
      </c>
      <c r="D111" s="1" t="s">
        <v>13</v>
      </c>
      <c r="E111" s="1" t="s">
        <v>15</v>
      </c>
      <c r="F111" s="2" t="s">
        <v>16</v>
      </c>
      <c r="G111" s="3">
        <v>9</v>
      </c>
      <c r="H111" s="16">
        <v>650</v>
      </c>
      <c r="I111">
        <f t="shared" si="15"/>
        <v>5850</v>
      </c>
      <c r="J111">
        <f t="shared" si="16"/>
        <v>1170</v>
      </c>
      <c r="K111" t="str">
        <f t="shared" si="17"/>
        <v>Feb</v>
      </c>
      <c r="L111" s="32" t="str">
        <f t="shared" si="18"/>
        <v>Q1</v>
      </c>
      <c r="M111" s="32" t="str">
        <f t="shared" si="19"/>
        <v>Normal</v>
      </c>
    </row>
    <row r="112" spans="1:13" x14ac:dyDescent="0.3">
      <c r="A112" s="15">
        <v>1111</v>
      </c>
      <c r="B112" s="11">
        <v>45486</v>
      </c>
      <c r="C112" s="4" t="s">
        <v>25</v>
      </c>
      <c r="D112" s="4" t="s">
        <v>26</v>
      </c>
      <c r="E112" s="4" t="s">
        <v>20</v>
      </c>
      <c r="F112" s="5" t="s">
        <v>30</v>
      </c>
      <c r="G112" s="6">
        <v>3</v>
      </c>
      <c r="H112" s="17">
        <v>850</v>
      </c>
      <c r="I112">
        <f t="shared" si="15"/>
        <v>2550</v>
      </c>
      <c r="J112">
        <f t="shared" si="16"/>
        <v>510</v>
      </c>
      <c r="K112" t="str">
        <f t="shared" si="17"/>
        <v>Jul</v>
      </c>
      <c r="L112" s="32" t="str">
        <f t="shared" si="18"/>
        <v>Q3</v>
      </c>
      <c r="M112" s="32" t="str">
        <f t="shared" si="19"/>
        <v>Normal</v>
      </c>
    </row>
    <row r="113" spans="1:13" x14ac:dyDescent="0.3">
      <c r="A113" s="14">
        <v>1112</v>
      </c>
      <c r="B113" s="10">
        <v>45617</v>
      </c>
      <c r="C113" s="1" t="s">
        <v>28</v>
      </c>
      <c r="D113" s="1" t="s">
        <v>29</v>
      </c>
      <c r="E113" s="1" t="s">
        <v>15</v>
      </c>
      <c r="F113" s="2" t="s">
        <v>27</v>
      </c>
      <c r="G113" s="3">
        <v>14</v>
      </c>
      <c r="H113" s="16">
        <v>3200</v>
      </c>
      <c r="I113">
        <f t="shared" si="15"/>
        <v>44800</v>
      </c>
      <c r="J113">
        <f t="shared" si="16"/>
        <v>8960</v>
      </c>
      <c r="K113" t="str">
        <f t="shared" si="17"/>
        <v>Nov</v>
      </c>
      <c r="L113" s="32" t="str">
        <f t="shared" si="18"/>
        <v>Q4</v>
      </c>
      <c r="M113" s="32" t="str">
        <f t="shared" si="19"/>
        <v>High Value</v>
      </c>
    </row>
    <row r="114" spans="1:13" x14ac:dyDescent="0.3">
      <c r="A114" s="15">
        <v>1113</v>
      </c>
      <c r="B114" s="11">
        <v>45519</v>
      </c>
      <c r="C114" s="4" t="s">
        <v>28</v>
      </c>
      <c r="D114" s="4" t="s">
        <v>29</v>
      </c>
      <c r="E114" s="4" t="s">
        <v>15</v>
      </c>
      <c r="F114" s="5" t="s">
        <v>34</v>
      </c>
      <c r="G114" s="6">
        <v>1</v>
      </c>
      <c r="H114" s="17">
        <v>1500</v>
      </c>
      <c r="I114">
        <f t="shared" si="15"/>
        <v>1500</v>
      </c>
      <c r="J114">
        <f t="shared" si="16"/>
        <v>300</v>
      </c>
      <c r="K114" t="str">
        <f t="shared" si="17"/>
        <v>Aug</v>
      </c>
      <c r="L114" s="32" t="str">
        <f t="shared" si="18"/>
        <v>Q3</v>
      </c>
      <c r="M114" s="32" t="str">
        <f t="shared" si="19"/>
        <v>Normal</v>
      </c>
    </row>
    <row r="115" spans="1:13" x14ac:dyDescent="0.3">
      <c r="A115" s="14">
        <v>1114</v>
      </c>
      <c r="B115" s="10">
        <v>45499</v>
      </c>
      <c r="C115" s="1" t="s">
        <v>12</v>
      </c>
      <c r="D115" s="1" t="s">
        <v>13</v>
      </c>
      <c r="E115" s="1" t="s">
        <v>15</v>
      </c>
      <c r="F115" s="2" t="s">
        <v>17</v>
      </c>
      <c r="G115" s="3">
        <v>14</v>
      </c>
      <c r="H115" s="16">
        <v>7500</v>
      </c>
      <c r="I115">
        <f t="shared" si="15"/>
        <v>105000</v>
      </c>
      <c r="J115">
        <f t="shared" si="16"/>
        <v>21000</v>
      </c>
      <c r="K115" t="str">
        <f t="shared" si="17"/>
        <v>Jul</v>
      </c>
      <c r="L115" s="32" t="str">
        <f t="shared" si="18"/>
        <v>Q3</v>
      </c>
      <c r="M115" s="32" t="str">
        <f t="shared" si="19"/>
        <v>High Value</v>
      </c>
    </row>
    <row r="116" spans="1:13" x14ac:dyDescent="0.3">
      <c r="A116" s="15">
        <v>1115</v>
      </c>
      <c r="B116" s="11">
        <v>45366</v>
      </c>
      <c r="C116" s="4" t="s">
        <v>28</v>
      </c>
      <c r="D116" s="4" t="s">
        <v>29</v>
      </c>
      <c r="E116" s="4" t="s">
        <v>10</v>
      </c>
      <c r="F116" s="5" t="s">
        <v>32</v>
      </c>
      <c r="G116" s="6">
        <v>14</v>
      </c>
      <c r="H116" s="17">
        <v>8500</v>
      </c>
      <c r="I116">
        <f t="shared" si="15"/>
        <v>119000</v>
      </c>
      <c r="J116">
        <f t="shared" si="16"/>
        <v>23800</v>
      </c>
      <c r="K116" t="str">
        <f t="shared" si="17"/>
        <v>Mar</v>
      </c>
      <c r="L116" s="32" t="str">
        <f t="shared" si="18"/>
        <v>Q1</v>
      </c>
      <c r="M116" s="32" t="str">
        <f t="shared" si="19"/>
        <v>High Value</v>
      </c>
    </row>
    <row r="117" spans="1:13" x14ac:dyDescent="0.3">
      <c r="A117" s="14">
        <v>1116</v>
      </c>
      <c r="B117" s="10">
        <v>45429</v>
      </c>
      <c r="C117" s="1" t="s">
        <v>19</v>
      </c>
      <c r="D117" s="1" t="s">
        <v>13</v>
      </c>
      <c r="E117" s="1" t="s">
        <v>10</v>
      </c>
      <c r="F117" s="2" t="s">
        <v>11</v>
      </c>
      <c r="G117" s="3">
        <v>2</v>
      </c>
      <c r="H117" s="16">
        <v>2500</v>
      </c>
      <c r="I117">
        <f t="shared" si="15"/>
        <v>5000</v>
      </c>
      <c r="J117">
        <f t="shared" si="16"/>
        <v>1000</v>
      </c>
      <c r="K117" t="str">
        <f t="shared" si="17"/>
        <v>May</v>
      </c>
      <c r="L117" s="32" t="str">
        <f t="shared" si="18"/>
        <v>Q2</v>
      </c>
      <c r="M117" s="32" t="str">
        <f t="shared" si="19"/>
        <v>Normal</v>
      </c>
    </row>
    <row r="118" spans="1:13" x14ac:dyDescent="0.3">
      <c r="A118" s="15">
        <v>1117</v>
      </c>
      <c r="B118" s="11">
        <v>45656</v>
      </c>
      <c r="C118" s="4" t="s">
        <v>28</v>
      </c>
      <c r="D118" s="4" t="s">
        <v>29</v>
      </c>
      <c r="E118" s="4" t="s">
        <v>20</v>
      </c>
      <c r="F118" s="5" t="s">
        <v>21</v>
      </c>
      <c r="G118" s="6">
        <v>10</v>
      </c>
      <c r="H118" s="17">
        <v>2200</v>
      </c>
      <c r="I118">
        <f t="shared" si="15"/>
        <v>22000</v>
      </c>
      <c r="J118">
        <f t="shared" si="16"/>
        <v>4400</v>
      </c>
      <c r="K118" t="str">
        <f t="shared" si="17"/>
        <v>Dec</v>
      </c>
      <c r="L118" s="32" t="str">
        <f t="shared" si="18"/>
        <v>Q4</v>
      </c>
      <c r="M118" s="32" t="str">
        <f t="shared" si="19"/>
        <v>High Value</v>
      </c>
    </row>
    <row r="119" spans="1:13" x14ac:dyDescent="0.3">
      <c r="A119" s="14">
        <v>1118</v>
      </c>
      <c r="B119" s="10">
        <v>45385</v>
      </c>
      <c r="C119" s="1" t="s">
        <v>8</v>
      </c>
      <c r="D119" s="1" t="s">
        <v>9</v>
      </c>
      <c r="E119" s="1" t="s">
        <v>20</v>
      </c>
      <c r="F119" s="2" t="s">
        <v>33</v>
      </c>
      <c r="G119" s="3">
        <v>13</v>
      </c>
      <c r="H119" s="16">
        <v>1800</v>
      </c>
      <c r="I119">
        <f t="shared" si="15"/>
        <v>23400</v>
      </c>
      <c r="J119">
        <f t="shared" si="16"/>
        <v>4680</v>
      </c>
      <c r="K119" t="str">
        <f t="shared" si="17"/>
        <v>Apr</v>
      </c>
      <c r="L119" s="32" t="str">
        <f t="shared" si="18"/>
        <v>Q2</v>
      </c>
      <c r="M119" s="32" t="str">
        <f t="shared" si="19"/>
        <v>High Value</v>
      </c>
    </row>
    <row r="120" spans="1:13" x14ac:dyDescent="0.3">
      <c r="A120" s="15">
        <v>1119</v>
      </c>
      <c r="B120" s="11">
        <v>45456</v>
      </c>
      <c r="C120" s="4" t="s">
        <v>19</v>
      </c>
      <c r="D120" s="4" t="s">
        <v>13</v>
      </c>
      <c r="E120" s="4" t="s">
        <v>15</v>
      </c>
      <c r="F120" s="5" t="s">
        <v>27</v>
      </c>
      <c r="G120" s="6">
        <v>15</v>
      </c>
      <c r="H120" s="17">
        <v>3200</v>
      </c>
      <c r="I120">
        <f t="shared" si="15"/>
        <v>48000</v>
      </c>
      <c r="J120">
        <f t="shared" si="16"/>
        <v>9600</v>
      </c>
      <c r="K120" t="str">
        <f t="shared" si="17"/>
        <v>Jun</v>
      </c>
      <c r="L120" s="32" t="str">
        <f t="shared" si="18"/>
        <v>Q2</v>
      </c>
      <c r="M120" s="32" t="str">
        <f t="shared" si="19"/>
        <v>High Value</v>
      </c>
    </row>
    <row r="121" spans="1:13" x14ac:dyDescent="0.3">
      <c r="A121" s="14">
        <v>1120</v>
      </c>
      <c r="B121" s="10">
        <v>45298</v>
      </c>
      <c r="C121" s="1" t="s">
        <v>22</v>
      </c>
      <c r="D121" s="1" t="s">
        <v>9</v>
      </c>
      <c r="E121" s="1" t="s">
        <v>15</v>
      </c>
      <c r="F121" s="2" t="s">
        <v>16</v>
      </c>
      <c r="G121" s="3">
        <v>11</v>
      </c>
      <c r="H121" s="16">
        <v>650</v>
      </c>
      <c r="I121">
        <f t="shared" si="15"/>
        <v>7150</v>
      </c>
      <c r="J121">
        <f t="shared" si="16"/>
        <v>1430</v>
      </c>
      <c r="K121" t="str">
        <f t="shared" si="17"/>
        <v>Jan</v>
      </c>
      <c r="L121" s="32" t="str">
        <f t="shared" si="18"/>
        <v>Q1</v>
      </c>
      <c r="M121" s="32" t="str">
        <f t="shared" si="19"/>
        <v>Normal</v>
      </c>
    </row>
    <row r="122" spans="1:13" x14ac:dyDescent="0.3">
      <c r="A122" s="15">
        <v>1121</v>
      </c>
      <c r="B122" s="11">
        <v>45340</v>
      </c>
      <c r="C122" s="4" t="s">
        <v>22</v>
      </c>
      <c r="D122" s="4" t="s">
        <v>9</v>
      </c>
      <c r="E122" s="4" t="s">
        <v>10</v>
      </c>
      <c r="F122" s="5" t="s">
        <v>24</v>
      </c>
      <c r="G122" s="6">
        <v>7</v>
      </c>
      <c r="H122" s="17">
        <v>3200</v>
      </c>
      <c r="I122">
        <f t="shared" si="15"/>
        <v>22400</v>
      </c>
      <c r="J122">
        <f t="shared" si="16"/>
        <v>4480</v>
      </c>
      <c r="K122" t="str">
        <f t="shared" si="17"/>
        <v>Feb</v>
      </c>
      <c r="L122" s="32" t="str">
        <f t="shared" si="18"/>
        <v>Q1</v>
      </c>
      <c r="M122" s="32" t="str">
        <f t="shared" si="19"/>
        <v>High Value</v>
      </c>
    </row>
    <row r="123" spans="1:13" x14ac:dyDescent="0.3">
      <c r="A123" s="14">
        <v>1122</v>
      </c>
      <c r="B123" s="10">
        <v>45552</v>
      </c>
      <c r="C123" s="1" t="s">
        <v>22</v>
      </c>
      <c r="D123" s="1" t="s">
        <v>9</v>
      </c>
      <c r="E123" s="1" t="s">
        <v>10</v>
      </c>
      <c r="F123" s="2" t="s">
        <v>18</v>
      </c>
      <c r="G123" s="3">
        <v>4</v>
      </c>
      <c r="H123" s="16">
        <v>1200</v>
      </c>
      <c r="I123">
        <f t="shared" si="15"/>
        <v>4800</v>
      </c>
      <c r="J123">
        <f t="shared" si="16"/>
        <v>960</v>
      </c>
      <c r="K123" t="str">
        <f t="shared" si="17"/>
        <v>Sep</v>
      </c>
      <c r="L123" s="32" t="str">
        <f t="shared" si="18"/>
        <v>Q3</v>
      </c>
      <c r="M123" s="32" t="str">
        <f t="shared" si="19"/>
        <v>Normal</v>
      </c>
    </row>
    <row r="124" spans="1:13" x14ac:dyDescent="0.3">
      <c r="A124" s="15">
        <v>1123</v>
      </c>
      <c r="B124" s="11">
        <v>45515</v>
      </c>
      <c r="C124" s="4" t="s">
        <v>25</v>
      </c>
      <c r="D124" s="4" t="s">
        <v>26</v>
      </c>
      <c r="E124" s="4" t="s">
        <v>10</v>
      </c>
      <c r="F124" s="5" t="s">
        <v>18</v>
      </c>
      <c r="G124" s="6">
        <v>2</v>
      </c>
      <c r="H124" s="17">
        <v>1200</v>
      </c>
      <c r="I124">
        <f t="shared" si="15"/>
        <v>2400</v>
      </c>
      <c r="J124">
        <f t="shared" si="16"/>
        <v>480</v>
      </c>
      <c r="K124" t="str">
        <f t="shared" si="17"/>
        <v>Aug</v>
      </c>
      <c r="L124" s="32" t="str">
        <f t="shared" si="18"/>
        <v>Q3</v>
      </c>
      <c r="M124" s="32" t="str">
        <f t="shared" si="19"/>
        <v>Normal</v>
      </c>
    </row>
    <row r="125" spans="1:13" x14ac:dyDescent="0.3">
      <c r="A125" s="14">
        <v>1124</v>
      </c>
      <c r="B125" s="10">
        <v>45509</v>
      </c>
      <c r="C125" s="1" t="s">
        <v>22</v>
      </c>
      <c r="D125" s="1" t="s">
        <v>9</v>
      </c>
      <c r="E125" s="1" t="s">
        <v>20</v>
      </c>
      <c r="F125" s="2" t="s">
        <v>33</v>
      </c>
      <c r="G125" s="3">
        <v>5</v>
      </c>
      <c r="H125" s="16">
        <v>1800</v>
      </c>
      <c r="I125">
        <f t="shared" si="15"/>
        <v>9000</v>
      </c>
      <c r="J125">
        <f t="shared" si="16"/>
        <v>1800</v>
      </c>
      <c r="K125" t="str">
        <f t="shared" si="17"/>
        <v>Aug</v>
      </c>
      <c r="L125" s="32" t="str">
        <f t="shared" si="18"/>
        <v>Q3</v>
      </c>
      <c r="M125" s="32" t="str">
        <f t="shared" si="19"/>
        <v>Normal</v>
      </c>
    </row>
    <row r="126" spans="1:13" x14ac:dyDescent="0.3">
      <c r="A126" s="15">
        <v>1125</v>
      </c>
      <c r="B126" s="11">
        <v>45312</v>
      </c>
      <c r="C126" s="4" t="s">
        <v>28</v>
      </c>
      <c r="D126" s="4" t="s">
        <v>29</v>
      </c>
      <c r="E126" s="4" t="s">
        <v>15</v>
      </c>
      <c r="F126" s="5" t="s">
        <v>17</v>
      </c>
      <c r="G126" s="6">
        <v>6</v>
      </c>
      <c r="H126" s="17">
        <v>7500</v>
      </c>
      <c r="I126">
        <f t="shared" si="15"/>
        <v>45000</v>
      </c>
      <c r="J126">
        <f t="shared" si="16"/>
        <v>9000</v>
      </c>
      <c r="K126" t="str">
        <f t="shared" si="17"/>
        <v>Jan</v>
      </c>
      <c r="L126" s="32" t="str">
        <f t="shared" si="18"/>
        <v>Q1</v>
      </c>
      <c r="M126" s="32" t="str">
        <f t="shared" si="19"/>
        <v>High Value</v>
      </c>
    </row>
    <row r="127" spans="1:13" x14ac:dyDescent="0.3">
      <c r="A127" s="14">
        <v>1126</v>
      </c>
      <c r="B127" s="10">
        <v>45417</v>
      </c>
      <c r="C127" s="1" t="s">
        <v>19</v>
      </c>
      <c r="D127" s="1" t="s">
        <v>13</v>
      </c>
      <c r="E127" s="1" t="s">
        <v>10</v>
      </c>
      <c r="F127" s="2" t="s">
        <v>14</v>
      </c>
      <c r="G127" s="3">
        <v>9</v>
      </c>
      <c r="H127" s="16">
        <v>2800</v>
      </c>
      <c r="I127">
        <f t="shared" si="15"/>
        <v>25200</v>
      </c>
      <c r="J127">
        <f t="shared" si="16"/>
        <v>5040</v>
      </c>
      <c r="K127" t="str">
        <f t="shared" si="17"/>
        <v>May</v>
      </c>
      <c r="L127" s="32" t="str">
        <f t="shared" si="18"/>
        <v>Q2</v>
      </c>
      <c r="M127" s="32" t="str">
        <f t="shared" si="19"/>
        <v>High Value</v>
      </c>
    </row>
    <row r="128" spans="1:13" x14ac:dyDescent="0.3">
      <c r="A128" s="15">
        <v>1127</v>
      </c>
      <c r="B128" s="11">
        <v>45482</v>
      </c>
      <c r="C128" s="4" t="s">
        <v>28</v>
      </c>
      <c r="D128" s="4" t="s">
        <v>29</v>
      </c>
      <c r="E128" s="4" t="s">
        <v>20</v>
      </c>
      <c r="F128" s="5" t="s">
        <v>33</v>
      </c>
      <c r="G128" s="6">
        <v>2</v>
      </c>
      <c r="H128" s="17">
        <v>1800</v>
      </c>
      <c r="I128">
        <f t="shared" si="15"/>
        <v>3600</v>
      </c>
      <c r="J128">
        <f t="shared" si="16"/>
        <v>720</v>
      </c>
      <c r="K128" t="str">
        <f t="shared" si="17"/>
        <v>Jul</v>
      </c>
      <c r="L128" s="32" t="str">
        <f t="shared" si="18"/>
        <v>Q3</v>
      </c>
      <c r="M128" s="32" t="str">
        <f t="shared" si="19"/>
        <v>Normal</v>
      </c>
    </row>
    <row r="129" spans="1:13" x14ac:dyDescent="0.3">
      <c r="A129" s="14">
        <v>1128</v>
      </c>
      <c r="B129" s="10">
        <v>45628</v>
      </c>
      <c r="C129" s="1" t="s">
        <v>8</v>
      </c>
      <c r="D129" s="1" t="s">
        <v>9</v>
      </c>
      <c r="E129" s="1" t="s">
        <v>10</v>
      </c>
      <c r="F129" s="2" t="s">
        <v>11</v>
      </c>
      <c r="G129" s="3">
        <v>2</v>
      </c>
      <c r="H129" s="16">
        <v>2500</v>
      </c>
      <c r="I129">
        <f t="shared" si="15"/>
        <v>5000</v>
      </c>
      <c r="J129">
        <f t="shared" si="16"/>
        <v>1000</v>
      </c>
      <c r="K129" t="str">
        <f t="shared" si="17"/>
        <v>Dec</v>
      </c>
      <c r="L129" s="32" t="str">
        <f t="shared" si="18"/>
        <v>Q4</v>
      </c>
      <c r="M129" s="32" t="str">
        <f t="shared" si="19"/>
        <v>Normal</v>
      </c>
    </row>
    <row r="130" spans="1:13" x14ac:dyDescent="0.3">
      <c r="A130" s="15">
        <v>1129</v>
      </c>
      <c r="B130" s="11">
        <v>45453</v>
      </c>
      <c r="C130" s="4" t="s">
        <v>25</v>
      </c>
      <c r="D130" s="4" t="s">
        <v>26</v>
      </c>
      <c r="E130" s="4" t="s">
        <v>15</v>
      </c>
      <c r="F130" s="5" t="s">
        <v>27</v>
      </c>
      <c r="G130" s="6">
        <v>13</v>
      </c>
      <c r="H130" s="17">
        <v>3200</v>
      </c>
      <c r="I130">
        <f t="shared" ref="I130:I161" si="20">G130*H130</f>
        <v>41600</v>
      </c>
      <c r="J130">
        <f t="shared" ref="J130:J161" si="21">I130*20%</f>
        <v>8320</v>
      </c>
      <c r="K130" t="str">
        <f t="shared" ref="K130:K161" si="22">TEXT(B130,"MMM")</f>
        <v>Jun</v>
      </c>
      <c r="L130" s="32" t="str">
        <f t="shared" ref="L130:L161" si="23">IF(MONTH(B130)&lt;=3,"Q1",IF(MONTH(B130)&lt;=6,"Q2",IF(MONTH(B130)&lt;=9,"Q3","Q4")))</f>
        <v>Q2</v>
      </c>
      <c r="M130" s="32" t="str">
        <f t="shared" ref="M130:M161" si="24">IF(I130&gt;10000,"High Value","Normal")</f>
        <v>High Value</v>
      </c>
    </row>
    <row r="131" spans="1:13" x14ac:dyDescent="0.3">
      <c r="A131" s="14">
        <v>1130</v>
      </c>
      <c r="B131" s="10">
        <v>45315</v>
      </c>
      <c r="C131" s="1" t="s">
        <v>19</v>
      </c>
      <c r="D131" s="1" t="s">
        <v>13</v>
      </c>
      <c r="E131" s="1" t="s">
        <v>20</v>
      </c>
      <c r="F131" s="2" t="s">
        <v>23</v>
      </c>
      <c r="G131" s="3">
        <v>9</v>
      </c>
      <c r="H131" s="16">
        <v>1100</v>
      </c>
      <c r="I131">
        <f t="shared" si="20"/>
        <v>9900</v>
      </c>
      <c r="J131">
        <f t="shared" si="21"/>
        <v>1980</v>
      </c>
      <c r="K131" t="str">
        <f t="shared" si="22"/>
        <v>Jan</v>
      </c>
      <c r="L131" s="32" t="str">
        <f t="shared" si="23"/>
        <v>Q1</v>
      </c>
      <c r="M131" s="32" t="str">
        <f t="shared" si="24"/>
        <v>Normal</v>
      </c>
    </row>
    <row r="132" spans="1:13" x14ac:dyDescent="0.3">
      <c r="A132" s="15">
        <v>1131</v>
      </c>
      <c r="B132" s="11">
        <v>45473</v>
      </c>
      <c r="C132" s="4" t="s">
        <v>22</v>
      </c>
      <c r="D132" s="4" t="s">
        <v>9</v>
      </c>
      <c r="E132" s="4" t="s">
        <v>15</v>
      </c>
      <c r="F132" s="5" t="s">
        <v>27</v>
      </c>
      <c r="G132" s="6">
        <v>15</v>
      </c>
      <c r="H132" s="17">
        <v>3200</v>
      </c>
      <c r="I132">
        <f t="shared" si="20"/>
        <v>48000</v>
      </c>
      <c r="J132">
        <f t="shared" si="21"/>
        <v>9600</v>
      </c>
      <c r="K132" t="str">
        <f t="shared" si="22"/>
        <v>Jun</v>
      </c>
      <c r="L132" s="32" t="str">
        <f t="shared" si="23"/>
        <v>Q2</v>
      </c>
      <c r="M132" s="32" t="str">
        <f t="shared" si="24"/>
        <v>High Value</v>
      </c>
    </row>
    <row r="133" spans="1:13" x14ac:dyDescent="0.3">
      <c r="A133" s="14">
        <v>1132</v>
      </c>
      <c r="B133" s="10">
        <v>45327</v>
      </c>
      <c r="C133" s="1" t="s">
        <v>19</v>
      </c>
      <c r="D133" s="1" t="s">
        <v>13</v>
      </c>
      <c r="E133" s="1" t="s">
        <v>15</v>
      </c>
      <c r="F133" s="2" t="s">
        <v>34</v>
      </c>
      <c r="G133" s="3">
        <v>11</v>
      </c>
      <c r="H133" s="16">
        <v>1500</v>
      </c>
      <c r="I133">
        <f t="shared" si="20"/>
        <v>16500</v>
      </c>
      <c r="J133">
        <f t="shared" si="21"/>
        <v>3300</v>
      </c>
      <c r="K133" t="str">
        <f t="shared" si="22"/>
        <v>Feb</v>
      </c>
      <c r="L133" s="32" t="str">
        <f t="shared" si="23"/>
        <v>Q1</v>
      </c>
      <c r="M133" s="32" t="str">
        <f t="shared" si="24"/>
        <v>High Value</v>
      </c>
    </row>
    <row r="134" spans="1:13" x14ac:dyDescent="0.3">
      <c r="A134" s="15">
        <v>1133</v>
      </c>
      <c r="B134" s="11">
        <v>45653</v>
      </c>
      <c r="C134" s="4" t="s">
        <v>8</v>
      </c>
      <c r="D134" s="4" t="s">
        <v>9</v>
      </c>
      <c r="E134" s="4" t="s">
        <v>20</v>
      </c>
      <c r="F134" s="5" t="s">
        <v>33</v>
      </c>
      <c r="G134" s="6">
        <v>14</v>
      </c>
      <c r="H134" s="17">
        <v>1800</v>
      </c>
      <c r="I134">
        <f t="shared" si="20"/>
        <v>25200</v>
      </c>
      <c r="J134">
        <f t="shared" si="21"/>
        <v>5040</v>
      </c>
      <c r="K134" t="str">
        <f t="shared" si="22"/>
        <v>Dec</v>
      </c>
      <c r="L134" s="32" t="str">
        <f t="shared" si="23"/>
        <v>Q4</v>
      </c>
      <c r="M134" s="32" t="str">
        <f t="shared" si="24"/>
        <v>High Value</v>
      </c>
    </row>
    <row r="135" spans="1:13" x14ac:dyDescent="0.3">
      <c r="A135" s="14">
        <v>1134</v>
      </c>
      <c r="B135" s="10">
        <v>45619</v>
      </c>
      <c r="C135" s="1" t="s">
        <v>22</v>
      </c>
      <c r="D135" s="1" t="s">
        <v>9</v>
      </c>
      <c r="E135" s="1" t="s">
        <v>20</v>
      </c>
      <c r="F135" s="2" t="s">
        <v>30</v>
      </c>
      <c r="G135" s="3">
        <v>15</v>
      </c>
      <c r="H135" s="16">
        <v>850</v>
      </c>
      <c r="I135">
        <f t="shared" si="20"/>
        <v>12750</v>
      </c>
      <c r="J135">
        <f t="shared" si="21"/>
        <v>2550</v>
      </c>
      <c r="K135" t="str">
        <f t="shared" si="22"/>
        <v>Nov</v>
      </c>
      <c r="L135" s="32" t="str">
        <f t="shared" si="23"/>
        <v>Q4</v>
      </c>
      <c r="M135" s="32" t="str">
        <f t="shared" si="24"/>
        <v>High Value</v>
      </c>
    </row>
    <row r="136" spans="1:13" x14ac:dyDescent="0.3">
      <c r="A136" s="15">
        <v>1135</v>
      </c>
      <c r="B136" s="11">
        <v>45600</v>
      </c>
      <c r="C136" s="4" t="s">
        <v>19</v>
      </c>
      <c r="D136" s="4" t="s">
        <v>13</v>
      </c>
      <c r="E136" s="4" t="s">
        <v>15</v>
      </c>
      <c r="F136" s="5" t="s">
        <v>31</v>
      </c>
      <c r="G136" s="6">
        <v>8</v>
      </c>
      <c r="H136" s="17">
        <v>950</v>
      </c>
      <c r="I136">
        <f t="shared" si="20"/>
        <v>7600</v>
      </c>
      <c r="J136">
        <f t="shared" si="21"/>
        <v>1520</v>
      </c>
      <c r="K136" t="str">
        <f t="shared" si="22"/>
        <v>Nov</v>
      </c>
      <c r="L136" s="32" t="str">
        <f t="shared" si="23"/>
        <v>Q4</v>
      </c>
      <c r="M136" s="32" t="str">
        <f t="shared" si="24"/>
        <v>Normal</v>
      </c>
    </row>
    <row r="137" spans="1:13" x14ac:dyDescent="0.3">
      <c r="A137" s="14">
        <v>1136</v>
      </c>
      <c r="B137" s="10">
        <v>45511</v>
      </c>
      <c r="C137" s="1" t="s">
        <v>22</v>
      </c>
      <c r="D137" s="1" t="s">
        <v>9</v>
      </c>
      <c r="E137" s="1" t="s">
        <v>20</v>
      </c>
      <c r="F137" s="2" t="s">
        <v>35</v>
      </c>
      <c r="G137" s="3">
        <v>12</v>
      </c>
      <c r="H137" s="16">
        <v>1400</v>
      </c>
      <c r="I137">
        <f t="shared" si="20"/>
        <v>16800</v>
      </c>
      <c r="J137">
        <f t="shared" si="21"/>
        <v>3360</v>
      </c>
      <c r="K137" t="str">
        <f t="shared" si="22"/>
        <v>Aug</v>
      </c>
      <c r="L137" s="32" t="str">
        <f t="shared" si="23"/>
        <v>Q3</v>
      </c>
      <c r="M137" s="32" t="str">
        <f t="shared" si="24"/>
        <v>High Value</v>
      </c>
    </row>
    <row r="138" spans="1:13" x14ac:dyDescent="0.3">
      <c r="A138" s="15">
        <v>1137</v>
      </c>
      <c r="B138" s="11">
        <v>45637</v>
      </c>
      <c r="C138" s="4" t="s">
        <v>19</v>
      </c>
      <c r="D138" s="4" t="s">
        <v>13</v>
      </c>
      <c r="E138" s="4" t="s">
        <v>10</v>
      </c>
      <c r="F138" s="5" t="s">
        <v>24</v>
      </c>
      <c r="G138" s="6">
        <v>6</v>
      </c>
      <c r="H138" s="17">
        <v>3200</v>
      </c>
      <c r="I138">
        <f t="shared" si="20"/>
        <v>19200</v>
      </c>
      <c r="J138">
        <f t="shared" si="21"/>
        <v>3840</v>
      </c>
      <c r="K138" t="str">
        <f t="shared" si="22"/>
        <v>Dec</v>
      </c>
      <c r="L138" s="32" t="str">
        <f t="shared" si="23"/>
        <v>Q4</v>
      </c>
      <c r="M138" s="32" t="str">
        <f t="shared" si="24"/>
        <v>High Value</v>
      </c>
    </row>
    <row r="139" spans="1:13" x14ac:dyDescent="0.3">
      <c r="A139" s="14">
        <v>1138</v>
      </c>
      <c r="B139" s="10">
        <v>45482</v>
      </c>
      <c r="C139" s="1" t="s">
        <v>12</v>
      </c>
      <c r="D139" s="1" t="s">
        <v>13</v>
      </c>
      <c r="E139" s="1" t="s">
        <v>10</v>
      </c>
      <c r="F139" s="2" t="s">
        <v>18</v>
      </c>
      <c r="G139" s="3">
        <v>9</v>
      </c>
      <c r="H139" s="16">
        <v>1200</v>
      </c>
      <c r="I139">
        <f t="shared" si="20"/>
        <v>10800</v>
      </c>
      <c r="J139">
        <f t="shared" si="21"/>
        <v>2160</v>
      </c>
      <c r="K139" t="str">
        <f t="shared" si="22"/>
        <v>Jul</v>
      </c>
      <c r="L139" s="32" t="str">
        <f t="shared" si="23"/>
        <v>Q3</v>
      </c>
      <c r="M139" s="32" t="str">
        <f t="shared" si="24"/>
        <v>High Value</v>
      </c>
    </row>
    <row r="140" spans="1:13" x14ac:dyDescent="0.3">
      <c r="A140" s="15">
        <v>1139</v>
      </c>
      <c r="B140" s="11">
        <v>45425</v>
      </c>
      <c r="C140" s="4" t="s">
        <v>8</v>
      </c>
      <c r="D140" s="4" t="s">
        <v>9</v>
      </c>
      <c r="E140" s="4" t="s">
        <v>15</v>
      </c>
      <c r="F140" s="5" t="s">
        <v>16</v>
      </c>
      <c r="G140" s="6">
        <v>3</v>
      </c>
      <c r="H140" s="17">
        <v>650</v>
      </c>
      <c r="I140">
        <f t="shared" si="20"/>
        <v>1950</v>
      </c>
      <c r="J140">
        <f t="shared" si="21"/>
        <v>390</v>
      </c>
      <c r="K140" t="str">
        <f t="shared" si="22"/>
        <v>May</v>
      </c>
      <c r="L140" s="32" t="str">
        <f t="shared" si="23"/>
        <v>Q2</v>
      </c>
      <c r="M140" s="32" t="str">
        <f t="shared" si="24"/>
        <v>Normal</v>
      </c>
    </row>
    <row r="141" spans="1:13" x14ac:dyDescent="0.3">
      <c r="A141" s="14">
        <v>1140</v>
      </c>
      <c r="B141" s="10">
        <v>45572</v>
      </c>
      <c r="C141" s="1" t="s">
        <v>8</v>
      </c>
      <c r="D141" s="1" t="s">
        <v>9</v>
      </c>
      <c r="E141" s="1" t="s">
        <v>20</v>
      </c>
      <c r="F141" s="2" t="s">
        <v>35</v>
      </c>
      <c r="G141" s="3">
        <v>5</v>
      </c>
      <c r="H141" s="16">
        <v>1400</v>
      </c>
      <c r="I141">
        <f t="shared" si="20"/>
        <v>7000</v>
      </c>
      <c r="J141">
        <f t="shared" si="21"/>
        <v>1400</v>
      </c>
      <c r="K141" t="str">
        <f t="shared" si="22"/>
        <v>Oct</v>
      </c>
      <c r="L141" s="32" t="str">
        <f t="shared" si="23"/>
        <v>Q4</v>
      </c>
      <c r="M141" s="32" t="str">
        <f t="shared" si="24"/>
        <v>Normal</v>
      </c>
    </row>
    <row r="142" spans="1:13" x14ac:dyDescent="0.3">
      <c r="A142" s="15">
        <v>1141</v>
      </c>
      <c r="B142" s="11">
        <v>45421</v>
      </c>
      <c r="C142" s="4" t="s">
        <v>8</v>
      </c>
      <c r="D142" s="4" t="s">
        <v>9</v>
      </c>
      <c r="E142" s="4" t="s">
        <v>15</v>
      </c>
      <c r="F142" s="5" t="s">
        <v>17</v>
      </c>
      <c r="G142" s="6">
        <v>14</v>
      </c>
      <c r="H142" s="17">
        <v>7500</v>
      </c>
      <c r="I142">
        <f t="shared" si="20"/>
        <v>105000</v>
      </c>
      <c r="J142">
        <f t="shared" si="21"/>
        <v>21000</v>
      </c>
      <c r="K142" t="str">
        <f t="shared" si="22"/>
        <v>May</v>
      </c>
      <c r="L142" s="32" t="str">
        <f t="shared" si="23"/>
        <v>Q2</v>
      </c>
      <c r="M142" s="32" t="str">
        <f t="shared" si="24"/>
        <v>High Value</v>
      </c>
    </row>
    <row r="143" spans="1:13" x14ac:dyDescent="0.3">
      <c r="A143" s="14">
        <v>1142</v>
      </c>
      <c r="B143" s="10">
        <v>45399</v>
      </c>
      <c r="C143" s="1" t="s">
        <v>8</v>
      </c>
      <c r="D143" s="1" t="s">
        <v>9</v>
      </c>
      <c r="E143" s="1" t="s">
        <v>15</v>
      </c>
      <c r="F143" s="2" t="s">
        <v>31</v>
      </c>
      <c r="G143" s="3">
        <v>2</v>
      </c>
      <c r="H143" s="16">
        <v>950</v>
      </c>
      <c r="I143">
        <f t="shared" si="20"/>
        <v>1900</v>
      </c>
      <c r="J143">
        <f t="shared" si="21"/>
        <v>380</v>
      </c>
      <c r="K143" t="str">
        <f t="shared" si="22"/>
        <v>Apr</v>
      </c>
      <c r="L143" s="32" t="str">
        <f t="shared" si="23"/>
        <v>Q2</v>
      </c>
      <c r="M143" s="32" t="str">
        <f t="shared" si="24"/>
        <v>Normal</v>
      </c>
    </row>
    <row r="144" spans="1:13" x14ac:dyDescent="0.3">
      <c r="A144" s="15">
        <v>1143</v>
      </c>
      <c r="B144" s="11">
        <v>45446</v>
      </c>
      <c r="C144" s="4" t="s">
        <v>19</v>
      </c>
      <c r="D144" s="4" t="s">
        <v>13</v>
      </c>
      <c r="E144" s="4" t="s">
        <v>10</v>
      </c>
      <c r="F144" s="5" t="s">
        <v>18</v>
      </c>
      <c r="G144" s="6">
        <v>7</v>
      </c>
      <c r="H144" s="17">
        <v>1200</v>
      </c>
      <c r="I144">
        <f t="shared" si="20"/>
        <v>8400</v>
      </c>
      <c r="J144">
        <f t="shared" si="21"/>
        <v>1680</v>
      </c>
      <c r="K144" t="str">
        <f t="shared" si="22"/>
        <v>Jun</v>
      </c>
      <c r="L144" s="32" t="str">
        <f t="shared" si="23"/>
        <v>Q2</v>
      </c>
      <c r="M144" s="32" t="str">
        <f t="shared" si="24"/>
        <v>Normal</v>
      </c>
    </row>
    <row r="145" spans="1:13" x14ac:dyDescent="0.3">
      <c r="A145" s="14">
        <v>1144</v>
      </c>
      <c r="B145" s="10">
        <v>45562</v>
      </c>
      <c r="C145" s="1" t="s">
        <v>22</v>
      </c>
      <c r="D145" s="1" t="s">
        <v>9</v>
      </c>
      <c r="E145" s="1" t="s">
        <v>10</v>
      </c>
      <c r="F145" s="2" t="s">
        <v>11</v>
      </c>
      <c r="G145" s="3">
        <v>10</v>
      </c>
      <c r="H145" s="16">
        <v>2500</v>
      </c>
      <c r="I145">
        <f t="shared" si="20"/>
        <v>25000</v>
      </c>
      <c r="J145">
        <f t="shared" si="21"/>
        <v>5000</v>
      </c>
      <c r="K145" t="str">
        <f t="shared" si="22"/>
        <v>Sep</v>
      </c>
      <c r="L145" s="32" t="str">
        <f t="shared" si="23"/>
        <v>Q3</v>
      </c>
      <c r="M145" s="32" t="str">
        <f t="shared" si="24"/>
        <v>High Value</v>
      </c>
    </row>
    <row r="146" spans="1:13" x14ac:dyDescent="0.3">
      <c r="A146" s="15">
        <v>1145</v>
      </c>
      <c r="B146" s="11">
        <v>45397</v>
      </c>
      <c r="C146" s="4" t="s">
        <v>19</v>
      </c>
      <c r="D146" s="4" t="s">
        <v>13</v>
      </c>
      <c r="E146" s="4" t="s">
        <v>10</v>
      </c>
      <c r="F146" s="5" t="s">
        <v>14</v>
      </c>
      <c r="G146" s="6">
        <v>5</v>
      </c>
      <c r="H146" s="17">
        <v>2800</v>
      </c>
      <c r="I146">
        <f t="shared" si="20"/>
        <v>14000</v>
      </c>
      <c r="J146">
        <f t="shared" si="21"/>
        <v>2800</v>
      </c>
      <c r="K146" t="str">
        <f t="shared" si="22"/>
        <v>Apr</v>
      </c>
      <c r="L146" s="32" t="str">
        <f t="shared" si="23"/>
        <v>Q2</v>
      </c>
      <c r="M146" s="32" t="str">
        <f t="shared" si="24"/>
        <v>High Value</v>
      </c>
    </row>
    <row r="147" spans="1:13" x14ac:dyDescent="0.3">
      <c r="A147" s="14">
        <v>1146</v>
      </c>
      <c r="B147" s="10">
        <v>45387</v>
      </c>
      <c r="C147" s="1" t="s">
        <v>25</v>
      </c>
      <c r="D147" s="1" t="s">
        <v>26</v>
      </c>
      <c r="E147" s="1" t="s">
        <v>15</v>
      </c>
      <c r="F147" s="2" t="s">
        <v>27</v>
      </c>
      <c r="G147" s="3">
        <v>13</v>
      </c>
      <c r="H147" s="16">
        <v>3200</v>
      </c>
      <c r="I147">
        <f t="shared" si="20"/>
        <v>41600</v>
      </c>
      <c r="J147">
        <f t="shared" si="21"/>
        <v>8320</v>
      </c>
      <c r="K147" t="str">
        <f t="shared" si="22"/>
        <v>Apr</v>
      </c>
      <c r="L147" s="32" t="str">
        <f t="shared" si="23"/>
        <v>Q2</v>
      </c>
      <c r="M147" s="32" t="str">
        <f t="shared" si="24"/>
        <v>High Value</v>
      </c>
    </row>
    <row r="148" spans="1:13" x14ac:dyDescent="0.3">
      <c r="A148" s="15">
        <v>1147</v>
      </c>
      <c r="B148" s="11">
        <v>45563</v>
      </c>
      <c r="C148" s="4" t="s">
        <v>25</v>
      </c>
      <c r="D148" s="4" t="s">
        <v>26</v>
      </c>
      <c r="E148" s="4" t="s">
        <v>15</v>
      </c>
      <c r="F148" s="5" t="s">
        <v>27</v>
      </c>
      <c r="G148" s="6">
        <v>14</v>
      </c>
      <c r="H148" s="17">
        <v>3200</v>
      </c>
      <c r="I148">
        <f t="shared" si="20"/>
        <v>44800</v>
      </c>
      <c r="J148">
        <f t="shared" si="21"/>
        <v>8960</v>
      </c>
      <c r="K148" t="str">
        <f t="shared" si="22"/>
        <v>Sep</v>
      </c>
      <c r="L148" s="32" t="str">
        <f t="shared" si="23"/>
        <v>Q3</v>
      </c>
      <c r="M148" s="32" t="str">
        <f t="shared" si="24"/>
        <v>High Value</v>
      </c>
    </row>
    <row r="149" spans="1:13" x14ac:dyDescent="0.3">
      <c r="A149" s="14">
        <v>1148</v>
      </c>
      <c r="B149" s="10">
        <v>45510</v>
      </c>
      <c r="C149" s="1" t="s">
        <v>22</v>
      </c>
      <c r="D149" s="1" t="s">
        <v>9</v>
      </c>
      <c r="E149" s="1" t="s">
        <v>15</v>
      </c>
      <c r="F149" s="2" t="s">
        <v>34</v>
      </c>
      <c r="G149" s="3">
        <v>5</v>
      </c>
      <c r="H149" s="16">
        <v>1500</v>
      </c>
      <c r="I149">
        <f t="shared" si="20"/>
        <v>7500</v>
      </c>
      <c r="J149">
        <f t="shared" si="21"/>
        <v>1500</v>
      </c>
      <c r="K149" t="str">
        <f t="shared" si="22"/>
        <v>Aug</v>
      </c>
      <c r="L149" s="32" t="str">
        <f t="shared" si="23"/>
        <v>Q3</v>
      </c>
      <c r="M149" s="32" t="str">
        <f t="shared" si="24"/>
        <v>Normal</v>
      </c>
    </row>
    <row r="150" spans="1:13" x14ac:dyDescent="0.3">
      <c r="A150" s="15">
        <v>1149</v>
      </c>
      <c r="B150" s="11">
        <v>45313</v>
      </c>
      <c r="C150" s="4" t="s">
        <v>19</v>
      </c>
      <c r="D150" s="4" t="s">
        <v>13</v>
      </c>
      <c r="E150" s="4" t="s">
        <v>15</v>
      </c>
      <c r="F150" s="5" t="s">
        <v>31</v>
      </c>
      <c r="G150" s="6">
        <v>2</v>
      </c>
      <c r="H150" s="17">
        <v>950</v>
      </c>
      <c r="I150">
        <f t="shared" si="20"/>
        <v>1900</v>
      </c>
      <c r="J150">
        <f t="shared" si="21"/>
        <v>380</v>
      </c>
      <c r="K150" t="str">
        <f t="shared" si="22"/>
        <v>Jan</v>
      </c>
      <c r="L150" s="32" t="str">
        <f t="shared" si="23"/>
        <v>Q1</v>
      </c>
      <c r="M150" s="32" t="str">
        <f t="shared" si="24"/>
        <v>Normal</v>
      </c>
    </row>
    <row r="151" spans="1:13" x14ac:dyDescent="0.3">
      <c r="A151" s="14">
        <v>1150</v>
      </c>
      <c r="B151" s="10">
        <v>45598</v>
      </c>
      <c r="C151" s="1" t="s">
        <v>25</v>
      </c>
      <c r="D151" s="1" t="s">
        <v>26</v>
      </c>
      <c r="E151" s="1" t="s">
        <v>15</v>
      </c>
      <c r="F151" s="2" t="s">
        <v>17</v>
      </c>
      <c r="G151" s="3">
        <v>15</v>
      </c>
      <c r="H151" s="16">
        <v>7500</v>
      </c>
      <c r="I151">
        <f t="shared" si="20"/>
        <v>112500</v>
      </c>
      <c r="J151">
        <f t="shared" si="21"/>
        <v>22500</v>
      </c>
      <c r="K151" t="str">
        <f t="shared" si="22"/>
        <v>Nov</v>
      </c>
      <c r="L151" s="32" t="str">
        <f t="shared" si="23"/>
        <v>Q4</v>
      </c>
      <c r="M151" s="32" t="str">
        <f t="shared" si="24"/>
        <v>High Value</v>
      </c>
    </row>
    <row r="152" spans="1:13" x14ac:dyDescent="0.3">
      <c r="A152" s="15">
        <v>1151</v>
      </c>
      <c r="B152" s="11">
        <v>45543</v>
      </c>
      <c r="C152" s="4" t="s">
        <v>8</v>
      </c>
      <c r="D152" s="4" t="s">
        <v>9</v>
      </c>
      <c r="E152" s="4" t="s">
        <v>15</v>
      </c>
      <c r="F152" s="5" t="s">
        <v>34</v>
      </c>
      <c r="G152" s="6">
        <v>7</v>
      </c>
      <c r="H152" s="17">
        <v>1500</v>
      </c>
      <c r="I152">
        <f t="shared" si="20"/>
        <v>10500</v>
      </c>
      <c r="J152">
        <f t="shared" si="21"/>
        <v>2100</v>
      </c>
      <c r="K152" t="str">
        <f t="shared" si="22"/>
        <v>Sep</v>
      </c>
      <c r="L152" s="32" t="str">
        <f t="shared" si="23"/>
        <v>Q3</v>
      </c>
      <c r="M152" s="32" t="str">
        <f t="shared" si="24"/>
        <v>High Value</v>
      </c>
    </row>
    <row r="153" spans="1:13" x14ac:dyDescent="0.3">
      <c r="A153" s="14">
        <v>1152</v>
      </c>
      <c r="B153" s="10">
        <v>45607</v>
      </c>
      <c r="C153" s="1" t="s">
        <v>25</v>
      </c>
      <c r="D153" s="1" t="s">
        <v>26</v>
      </c>
      <c r="E153" s="1" t="s">
        <v>20</v>
      </c>
      <c r="F153" s="2" t="s">
        <v>33</v>
      </c>
      <c r="G153" s="3">
        <v>14</v>
      </c>
      <c r="H153" s="16">
        <v>1800</v>
      </c>
      <c r="I153">
        <f t="shared" si="20"/>
        <v>25200</v>
      </c>
      <c r="J153">
        <f t="shared" si="21"/>
        <v>5040</v>
      </c>
      <c r="K153" t="str">
        <f t="shared" si="22"/>
        <v>Nov</v>
      </c>
      <c r="L153" s="32" t="str">
        <f t="shared" si="23"/>
        <v>Q4</v>
      </c>
      <c r="M153" s="32" t="str">
        <f t="shared" si="24"/>
        <v>High Value</v>
      </c>
    </row>
    <row r="154" spans="1:13" x14ac:dyDescent="0.3">
      <c r="A154" s="15">
        <v>1153</v>
      </c>
      <c r="B154" s="11">
        <v>45432</v>
      </c>
      <c r="C154" s="4" t="s">
        <v>19</v>
      </c>
      <c r="D154" s="4" t="s">
        <v>13</v>
      </c>
      <c r="E154" s="4" t="s">
        <v>20</v>
      </c>
      <c r="F154" s="5" t="s">
        <v>21</v>
      </c>
      <c r="G154" s="6">
        <v>2</v>
      </c>
      <c r="H154" s="17">
        <v>2200</v>
      </c>
      <c r="I154">
        <f t="shared" si="20"/>
        <v>4400</v>
      </c>
      <c r="J154">
        <f t="shared" si="21"/>
        <v>880</v>
      </c>
      <c r="K154" t="str">
        <f t="shared" si="22"/>
        <v>May</v>
      </c>
      <c r="L154" s="32" t="str">
        <f t="shared" si="23"/>
        <v>Q2</v>
      </c>
      <c r="M154" s="32" t="str">
        <f t="shared" si="24"/>
        <v>Normal</v>
      </c>
    </row>
    <row r="155" spans="1:13" x14ac:dyDescent="0.3">
      <c r="A155" s="14">
        <v>1154</v>
      </c>
      <c r="B155" s="10">
        <v>45301</v>
      </c>
      <c r="C155" s="1" t="s">
        <v>12</v>
      </c>
      <c r="D155" s="1" t="s">
        <v>13</v>
      </c>
      <c r="E155" s="1" t="s">
        <v>15</v>
      </c>
      <c r="F155" s="2" t="s">
        <v>31</v>
      </c>
      <c r="G155" s="3">
        <v>10</v>
      </c>
      <c r="H155" s="16">
        <v>950</v>
      </c>
      <c r="I155">
        <f t="shared" si="20"/>
        <v>9500</v>
      </c>
      <c r="J155">
        <f t="shared" si="21"/>
        <v>1900</v>
      </c>
      <c r="K155" t="str">
        <f t="shared" si="22"/>
        <v>Jan</v>
      </c>
      <c r="L155" s="32" t="str">
        <f t="shared" si="23"/>
        <v>Q1</v>
      </c>
      <c r="M155" s="32" t="str">
        <f t="shared" si="24"/>
        <v>Normal</v>
      </c>
    </row>
    <row r="156" spans="1:13" x14ac:dyDescent="0.3">
      <c r="A156" s="15">
        <v>1155</v>
      </c>
      <c r="B156" s="11">
        <v>45444</v>
      </c>
      <c r="C156" s="4" t="s">
        <v>12</v>
      </c>
      <c r="D156" s="4" t="s">
        <v>13</v>
      </c>
      <c r="E156" s="4" t="s">
        <v>15</v>
      </c>
      <c r="F156" s="5" t="s">
        <v>27</v>
      </c>
      <c r="G156" s="6">
        <v>10</v>
      </c>
      <c r="H156" s="17">
        <v>3200</v>
      </c>
      <c r="I156">
        <f t="shared" si="20"/>
        <v>32000</v>
      </c>
      <c r="J156">
        <f t="shared" si="21"/>
        <v>6400</v>
      </c>
      <c r="K156" t="str">
        <f t="shared" si="22"/>
        <v>Jun</v>
      </c>
      <c r="L156" s="32" t="str">
        <f t="shared" si="23"/>
        <v>Q2</v>
      </c>
      <c r="M156" s="32" t="str">
        <f t="shared" si="24"/>
        <v>High Value</v>
      </c>
    </row>
    <row r="157" spans="1:13" x14ac:dyDescent="0.3">
      <c r="A157" s="14">
        <v>1156</v>
      </c>
      <c r="B157" s="10">
        <v>45513</v>
      </c>
      <c r="C157" s="1" t="s">
        <v>8</v>
      </c>
      <c r="D157" s="1" t="s">
        <v>9</v>
      </c>
      <c r="E157" s="1" t="s">
        <v>20</v>
      </c>
      <c r="F157" s="2" t="s">
        <v>30</v>
      </c>
      <c r="G157" s="3">
        <v>11</v>
      </c>
      <c r="H157" s="16">
        <v>850</v>
      </c>
      <c r="I157">
        <f t="shared" si="20"/>
        <v>9350</v>
      </c>
      <c r="J157">
        <f t="shared" si="21"/>
        <v>1870</v>
      </c>
      <c r="K157" t="str">
        <f t="shared" si="22"/>
        <v>Aug</v>
      </c>
      <c r="L157" s="32" t="str">
        <f t="shared" si="23"/>
        <v>Q3</v>
      </c>
      <c r="M157" s="32" t="str">
        <f t="shared" si="24"/>
        <v>Normal</v>
      </c>
    </row>
    <row r="158" spans="1:13" x14ac:dyDescent="0.3">
      <c r="A158" s="15">
        <v>1157</v>
      </c>
      <c r="B158" s="11">
        <v>45323</v>
      </c>
      <c r="C158" s="4" t="s">
        <v>19</v>
      </c>
      <c r="D158" s="4" t="s">
        <v>13</v>
      </c>
      <c r="E158" s="4" t="s">
        <v>15</v>
      </c>
      <c r="F158" s="5" t="s">
        <v>34</v>
      </c>
      <c r="G158" s="6">
        <v>15</v>
      </c>
      <c r="H158" s="17">
        <v>1500</v>
      </c>
      <c r="I158">
        <f t="shared" si="20"/>
        <v>22500</v>
      </c>
      <c r="J158">
        <f t="shared" si="21"/>
        <v>4500</v>
      </c>
      <c r="K158" t="str">
        <f t="shared" si="22"/>
        <v>Feb</v>
      </c>
      <c r="L158" s="32" t="str">
        <f t="shared" si="23"/>
        <v>Q1</v>
      </c>
      <c r="M158" s="32" t="str">
        <f t="shared" si="24"/>
        <v>High Value</v>
      </c>
    </row>
    <row r="159" spans="1:13" x14ac:dyDescent="0.3">
      <c r="A159" s="14">
        <v>1158</v>
      </c>
      <c r="B159" s="10">
        <v>45632</v>
      </c>
      <c r="C159" s="1" t="s">
        <v>22</v>
      </c>
      <c r="D159" s="1" t="s">
        <v>9</v>
      </c>
      <c r="E159" s="1" t="s">
        <v>20</v>
      </c>
      <c r="F159" s="2" t="s">
        <v>21</v>
      </c>
      <c r="G159" s="3">
        <v>3</v>
      </c>
      <c r="H159" s="16">
        <v>2200</v>
      </c>
      <c r="I159">
        <f t="shared" si="20"/>
        <v>6600</v>
      </c>
      <c r="J159">
        <f t="shared" si="21"/>
        <v>1320</v>
      </c>
      <c r="K159" t="str">
        <f t="shared" si="22"/>
        <v>Dec</v>
      </c>
      <c r="L159" s="32" t="str">
        <f t="shared" si="23"/>
        <v>Q4</v>
      </c>
      <c r="M159" s="32" t="str">
        <f t="shared" si="24"/>
        <v>Normal</v>
      </c>
    </row>
    <row r="160" spans="1:13" x14ac:dyDescent="0.3">
      <c r="A160" s="15">
        <v>1159</v>
      </c>
      <c r="B160" s="11">
        <v>45331</v>
      </c>
      <c r="C160" s="4" t="s">
        <v>28</v>
      </c>
      <c r="D160" s="4" t="s">
        <v>29</v>
      </c>
      <c r="E160" s="4" t="s">
        <v>15</v>
      </c>
      <c r="F160" s="5" t="s">
        <v>16</v>
      </c>
      <c r="G160" s="6">
        <v>6</v>
      </c>
      <c r="H160" s="17">
        <v>650</v>
      </c>
      <c r="I160">
        <f t="shared" si="20"/>
        <v>3900</v>
      </c>
      <c r="J160">
        <f t="shared" si="21"/>
        <v>780</v>
      </c>
      <c r="K160" t="str">
        <f t="shared" si="22"/>
        <v>Feb</v>
      </c>
      <c r="L160" s="32" t="str">
        <f t="shared" si="23"/>
        <v>Q1</v>
      </c>
      <c r="M160" s="32" t="str">
        <f t="shared" si="24"/>
        <v>Normal</v>
      </c>
    </row>
    <row r="161" spans="1:13" x14ac:dyDescent="0.3">
      <c r="A161" s="14">
        <v>1160</v>
      </c>
      <c r="B161" s="10">
        <v>45446</v>
      </c>
      <c r="C161" s="1" t="s">
        <v>12</v>
      </c>
      <c r="D161" s="1" t="s">
        <v>13</v>
      </c>
      <c r="E161" s="1" t="s">
        <v>10</v>
      </c>
      <c r="F161" s="2" t="s">
        <v>24</v>
      </c>
      <c r="G161" s="3">
        <v>14</v>
      </c>
      <c r="H161" s="16">
        <v>3200</v>
      </c>
      <c r="I161">
        <f t="shared" si="20"/>
        <v>44800</v>
      </c>
      <c r="J161">
        <f t="shared" si="21"/>
        <v>8960</v>
      </c>
      <c r="K161" t="str">
        <f t="shared" si="22"/>
        <v>Jun</v>
      </c>
      <c r="L161" s="32" t="str">
        <f t="shared" si="23"/>
        <v>Q2</v>
      </c>
      <c r="M161" s="32" t="str">
        <f t="shared" si="24"/>
        <v>High Value</v>
      </c>
    </row>
    <row r="162" spans="1:13" x14ac:dyDescent="0.3">
      <c r="A162" s="15">
        <v>1161</v>
      </c>
      <c r="B162" s="11">
        <v>45443</v>
      </c>
      <c r="C162" s="4" t="s">
        <v>8</v>
      </c>
      <c r="D162" s="4" t="s">
        <v>9</v>
      </c>
      <c r="E162" s="4" t="s">
        <v>10</v>
      </c>
      <c r="F162" s="5" t="s">
        <v>32</v>
      </c>
      <c r="G162" s="6">
        <v>6</v>
      </c>
      <c r="H162" s="17">
        <v>8500</v>
      </c>
      <c r="I162">
        <f t="shared" ref="I162:I181" si="25">G162*H162</f>
        <v>51000</v>
      </c>
      <c r="J162">
        <f t="shared" ref="J162:J181" si="26">I162*20%</f>
        <v>10200</v>
      </c>
      <c r="K162" t="str">
        <f t="shared" ref="K162:K181" si="27">TEXT(B162,"MMM")</f>
        <v>May</v>
      </c>
      <c r="L162" s="32" t="str">
        <f t="shared" ref="L162:L181" si="28">IF(MONTH(B162)&lt;=3,"Q1",IF(MONTH(B162)&lt;=6,"Q2",IF(MONTH(B162)&lt;=9,"Q3","Q4")))</f>
        <v>Q2</v>
      </c>
      <c r="M162" s="32" t="str">
        <f t="shared" ref="M162:M181" si="29">IF(I162&gt;10000,"High Value","Normal")</f>
        <v>High Value</v>
      </c>
    </row>
    <row r="163" spans="1:13" x14ac:dyDescent="0.3">
      <c r="A163" s="14">
        <v>1162</v>
      </c>
      <c r="B163" s="10">
        <v>45551</v>
      </c>
      <c r="C163" s="1" t="s">
        <v>12</v>
      </c>
      <c r="D163" s="1" t="s">
        <v>13</v>
      </c>
      <c r="E163" s="1" t="s">
        <v>15</v>
      </c>
      <c r="F163" s="2" t="s">
        <v>31</v>
      </c>
      <c r="G163" s="3">
        <v>6</v>
      </c>
      <c r="H163" s="16">
        <v>950</v>
      </c>
      <c r="I163">
        <f t="shared" si="25"/>
        <v>5700</v>
      </c>
      <c r="J163">
        <f t="shared" si="26"/>
        <v>1140</v>
      </c>
      <c r="K163" t="str">
        <f t="shared" si="27"/>
        <v>Sep</v>
      </c>
      <c r="L163" s="32" t="str">
        <f t="shared" si="28"/>
        <v>Q3</v>
      </c>
      <c r="M163" s="32" t="str">
        <f t="shared" si="29"/>
        <v>Normal</v>
      </c>
    </row>
    <row r="164" spans="1:13" x14ac:dyDescent="0.3">
      <c r="A164" s="15">
        <v>1163</v>
      </c>
      <c r="B164" s="11">
        <v>45418</v>
      </c>
      <c r="C164" s="4" t="s">
        <v>8</v>
      </c>
      <c r="D164" s="4" t="s">
        <v>9</v>
      </c>
      <c r="E164" s="4" t="s">
        <v>20</v>
      </c>
      <c r="F164" s="5" t="s">
        <v>35</v>
      </c>
      <c r="G164" s="6">
        <v>12</v>
      </c>
      <c r="H164" s="17">
        <v>1400</v>
      </c>
      <c r="I164">
        <f t="shared" si="25"/>
        <v>16800</v>
      </c>
      <c r="J164">
        <f t="shared" si="26"/>
        <v>3360</v>
      </c>
      <c r="K164" t="str">
        <f t="shared" si="27"/>
        <v>May</v>
      </c>
      <c r="L164" s="32" t="str">
        <f t="shared" si="28"/>
        <v>Q2</v>
      </c>
      <c r="M164" s="32" t="str">
        <f t="shared" si="29"/>
        <v>High Value</v>
      </c>
    </row>
    <row r="165" spans="1:13" x14ac:dyDescent="0.3">
      <c r="A165" s="14">
        <v>1164</v>
      </c>
      <c r="B165" s="10">
        <v>45445</v>
      </c>
      <c r="C165" s="1" t="s">
        <v>25</v>
      </c>
      <c r="D165" s="1" t="s">
        <v>26</v>
      </c>
      <c r="E165" s="1" t="s">
        <v>10</v>
      </c>
      <c r="F165" s="2" t="s">
        <v>18</v>
      </c>
      <c r="G165" s="3">
        <v>10</v>
      </c>
      <c r="H165" s="16">
        <v>1200</v>
      </c>
      <c r="I165">
        <f t="shared" si="25"/>
        <v>12000</v>
      </c>
      <c r="J165">
        <f t="shared" si="26"/>
        <v>2400</v>
      </c>
      <c r="K165" t="str">
        <f t="shared" si="27"/>
        <v>Jun</v>
      </c>
      <c r="L165" s="32" t="str">
        <f t="shared" si="28"/>
        <v>Q2</v>
      </c>
      <c r="M165" s="32" t="str">
        <f t="shared" si="29"/>
        <v>High Value</v>
      </c>
    </row>
    <row r="166" spans="1:13" x14ac:dyDescent="0.3">
      <c r="A166" s="15">
        <v>1165</v>
      </c>
      <c r="B166" s="11">
        <v>45632</v>
      </c>
      <c r="C166" s="4" t="s">
        <v>8</v>
      </c>
      <c r="D166" s="4" t="s">
        <v>9</v>
      </c>
      <c r="E166" s="4" t="s">
        <v>15</v>
      </c>
      <c r="F166" s="5" t="s">
        <v>17</v>
      </c>
      <c r="G166" s="6">
        <v>8</v>
      </c>
      <c r="H166" s="17">
        <v>7500</v>
      </c>
      <c r="I166">
        <f t="shared" si="25"/>
        <v>60000</v>
      </c>
      <c r="J166">
        <f t="shared" si="26"/>
        <v>12000</v>
      </c>
      <c r="K166" t="str">
        <f t="shared" si="27"/>
        <v>Dec</v>
      </c>
      <c r="L166" s="32" t="str">
        <f t="shared" si="28"/>
        <v>Q4</v>
      </c>
      <c r="M166" s="32" t="str">
        <f t="shared" si="29"/>
        <v>High Value</v>
      </c>
    </row>
    <row r="167" spans="1:13" x14ac:dyDescent="0.3">
      <c r="A167" s="14">
        <v>1166</v>
      </c>
      <c r="B167" s="10">
        <v>45534</v>
      </c>
      <c r="C167" s="1" t="s">
        <v>25</v>
      </c>
      <c r="D167" s="1" t="s">
        <v>26</v>
      </c>
      <c r="E167" s="1" t="s">
        <v>20</v>
      </c>
      <c r="F167" s="2" t="s">
        <v>30</v>
      </c>
      <c r="G167" s="3">
        <v>12</v>
      </c>
      <c r="H167" s="16">
        <v>850</v>
      </c>
      <c r="I167">
        <f t="shared" si="25"/>
        <v>10200</v>
      </c>
      <c r="J167">
        <f t="shared" si="26"/>
        <v>2040</v>
      </c>
      <c r="K167" t="str">
        <f t="shared" si="27"/>
        <v>Aug</v>
      </c>
      <c r="L167" s="32" t="str">
        <f t="shared" si="28"/>
        <v>Q3</v>
      </c>
      <c r="M167" s="32" t="str">
        <f t="shared" si="29"/>
        <v>High Value</v>
      </c>
    </row>
    <row r="168" spans="1:13" x14ac:dyDescent="0.3">
      <c r="A168" s="15">
        <v>1167</v>
      </c>
      <c r="B168" s="11">
        <v>45309</v>
      </c>
      <c r="C168" s="4" t="s">
        <v>12</v>
      </c>
      <c r="D168" s="4" t="s">
        <v>13</v>
      </c>
      <c r="E168" s="4" t="s">
        <v>20</v>
      </c>
      <c r="F168" s="5" t="s">
        <v>23</v>
      </c>
      <c r="G168" s="6">
        <v>8</v>
      </c>
      <c r="H168" s="17">
        <v>1100</v>
      </c>
      <c r="I168">
        <f t="shared" si="25"/>
        <v>8800</v>
      </c>
      <c r="J168">
        <f t="shared" si="26"/>
        <v>1760</v>
      </c>
      <c r="K168" t="str">
        <f t="shared" si="27"/>
        <v>Jan</v>
      </c>
      <c r="L168" s="32" t="str">
        <f t="shared" si="28"/>
        <v>Q1</v>
      </c>
      <c r="M168" s="32" t="str">
        <f t="shared" si="29"/>
        <v>Normal</v>
      </c>
    </row>
    <row r="169" spans="1:13" x14ac:dyDescent="0.3">
      <c r="A169" s="14">
        <v>1168</v>
      </c>
      <c r="B169" s="10">
        <v>45421</v>
      </c>
      <c r="C169" s="1" t="s">
        <v>12</v>
      </c>
      <c r="D169" s="1" t="s">
        <v>13</v>
      </c>
      <c r="E169" s="1" t="s">
        <v>10</v>
      </c>
      <c r="F169" s="2" t="s">
        <v>18</v>
      </c>
      <c r="G169" s="3">
        <v>10</v>
      </c>
      <c r="H169" s="16">
        <v>1200</v>
      </c>
      <c r="I169">
        <f t="shared" si="25"/>
        <v>12000</v>
      </c>
      <c r="J169">
        <f t="shared" si="26"/>
        <v>2400</v>
      </c>
      <c r="K169" t="str">
        <f t="shared" si="27"/>
        <v>May</v>
      </c>
      <c r="L169" s="32" t="str">
        <f t="shared" si="28"/>
        <v>Q2</v>
      </c>
      <c r="M169" s="32" t="str">
        <f t="shared" si="29"/>
        <v>High Value</v>
      </c>
    </row>
    <row r="170" spans="1:13" x14ac:dyDescent="0.3">
      <c r="A170" s="15">
        <v>1169</v>
      </c>
      <c r="B170" s="11">
        <v>45478</v>
      </c>
      <c r="C170" s="4" t="s">
        <v>19</v>
      </c>
      <c r="D170" s="4" t="s">
        <v>13</v>
      </c>
      <c r="E170" s="4" t="s">
        <v>10</v>
      </c>
      <c r="F170" s="5" t="s">
        <v>11</v>
      </c>
      <c r="G170" s="6">
        <v>2</v>
      </c>
      <c r="H170" s="17">
        <v>2500</v>
      </c>
      <c r="I170">
        <f t="shared" si="25"/>
        <v>5000</v>
      </c>
      <c r="J170">
        <f t="shared" si="26"/>
        <v>1000</v>
      </c>
      <c r="K170" t="str">
        <f t="shared" si="27"/>
        <v>Jul</v>
      </c>
      <c r="L170" s="32" t="str">
        <f t="shared" si="28"/>
        <v>Q3</v>
      </c>
      <c r="M170" s="32" t="str">
        <f t="shared" si="29"/>
        <v>Normal</v>
      </c>
    </row>
    <row r="171" spans="1:13" x14ac:dyDescent="0.3">
      <c r="A171" s="14">
        <v>1170</v>
      </c>
      <c r="B171" s="10">
        <v>45591</v>
      </c>
      <c r="C171" s="1" t="s">
        <v>12</v>
      </c>
      <c r="D171" s="1" t="s">
        <v>13</v>
      </c>
      <c r="E171" s="1" t="s">
        <v>10</v>
      </c>
      <c r="F171" s="2" t="s">
        <v>32</v>
      </c>
      <c r="G171" s="3">
        <v>13</v>
      </c>
      <c r="H171" s="16">
        <v>8500</v>
      </c>
      <c r="I171">
        <f t="shared" si="25"/>
        <v>110500</v>
      </c>
      <c r="J171">
        <f t="shared" si="26"/>
        <v>22100</v>
      </c>
      <c r="K171" t="str">
        <f t="shared" si="27"/>
        <v>Oct</v>
      </c>
      <c r="L171" s="32" t="str">
        <f t="shared" si="28"/>
        <v>Q4</v>
      </c>
      <c r="M171" s="32" t="str">
        <f t="shared" si="29"/>
        <v>High Value</v>
      </c>
    </row>
    <row r="172" spans="1:13" x14ac:dyDescent="0.3">
      <c r="A172" s="15">
        <v>1171</v>
      </c>
      <c r="B172" s="11">
        <v>45312</v>
      </c>
      <c r="C172" s="4" t="s">
        <v>22</v>
      </c>
      <c r="D172" s="4" t="s">
        <v>9</v>
      </c>
      <c r="E172" s="4" t="s">
        <v>15</v>
      </c>
      <c r="F172" s="5" t="s">
        <v>16</v>
      </c>
      <c r="G172" s="6">
        <v>7</v>
      </c>
      <c r="H172" s="17">
        <v>650</v>
      </c>
      <c r="I172">
        <f t="shared" si="25"/>
        <v>4550</v>
      </c>
      <c r="J172">
        <f t="shared" si="26"/>
        <v>910</v>
      </c>
      <c r="K172" t="str">
        <f t="shared" si="27"/>
        <v>Jan</v>
      </c>
      <c r="L172" s="32" t="str">
        <f t="shared" si="28"/>
        <v>Q1</v>
      </c>
      <c r="M172" s="32" t="str">
        <f t="shared" si="29"/>
        <v>Normal</v>
      </c>
    </row>
    <row r="173" spans="1:13" x14ac:dyDescent="0.3">
      <c r="A173" s="14">
        <v>1172</v>
      </c>
      <c r="B173" s="10">
        <v>45414</v>
      </c>
      <c r="C173" s="1" t="s">
        <v>28</v>
      </c>
      <c r="D173" s="1" t="s">
        <v>29</v>
      </c>
      <c r="E173" s="1" t="s">
        <v>15</v>
      </c>
      <c r="F173" s="2" t="s">
        <v>27</v>
      </c>
      <c r="G173" s="3">
        <v>9</v>
      </c>
      <c r="H173" s="16">
        <v>3200</v>
      </c>
      <c r="I173">
        <f t="shared" si="25"/>
        <v>28800</v>
      </c>
      <c r="J173">
        <f t="shared" si="26"/>
        <v>5760</v>
      </c>
      <c r="K173" t="str">
        <f t="shared" si="27"/>
        <v>May</v>
      </c>
      <c r="L173" s="32" t="str">
        <f t="shared" si="28"/>
        <v>Q2</v>
      </c>
      <c r="M173" s="32" t="str">
        <f t="shared" si="29"/>
        <v>High Value</v>
      </c>
    </row>
    <row r="174" spans="1:13" x14ac:dyDescent="0.3">
      <c r="A174" s="15">
        <v>1173</v>
      </c>
      <c r="B174" s="11">
        <v>45435</v>
      </c>
      <c r="C174" s="4" t="s">
        <v>12</v>
      </c>
      <c r="D174" s="4" t="s">
        <v>13</v>
      </c>
      <c r="E174" s="4" t="s">
        <v>20</v>
      </c>
      <c r="F174" s="5" t="s">
        <v>21</v>
      </c>
      <c r="G174" s="6">
        <v>15</v>
      </c>
      <c r="H174" s="17">
        <v>2200</v>
      </c>
      <c r="I174">
        <f t="shared" si="25"/>
        <v>33000</v>
      </c>
      <c r="J174">
        <f t="shared" si="26"/>
        <v>6600</v>
      </c>
      <c r="K174" t="str">
        <f t="shared" si="27"/>
        <v>May</v>
      </c>
      <c r="L174" s="32" t="str">
        <f t="shared" si="28"/>
        <v>Q2</v>
      </c>
      <c r="M174" s="32" t="str">
        <f t="shared" si="29"/>
        <v>High Value</v>
      </c>
    </row>
    <row r="175" spans="1:13" x14ac:dyDescent="0.3">
      <c r="A175" s="14">
        <v>1174</v>
      </c>
      <c r="B175" s="10">
        <v>45385</v>
      </c>
      <c r="C175" s="1" t="s">
        <v>22</v>
      </c>
      <c r="D175" s="1" t="s">
        <v>9</v>
      </c>
      <c r="E175" s="1" t="s">
        <v>10</v>
      </c>
      <c r="F175" s="2" t="s">
        <v>18</v>
      </c>
      <c r="G175" s="3">
        <v>15</v>
      </c>
      <c r="H175" s="16">
        <v>1200</v>
      </c>
      <c r="I175">
        <f t="shared" si="25"/>
        <v>18000</v>
      </c>
      <c r="J175">
        <f t="shared" si="26"/>
        <v>3600</v>
      </c>
      <c r="K175" t="str">
        <f t="shared" si="27"/>
        <v>Apr</v>
      </c>
      <c r="L175" s="32" t="str">
        <f t="shared" si="28"/>
        <v>Q2</v>
      </c>
      <c r="M175" s="32" t="str">
        <f t="shared" si="29"/>
        <v>High Value</v>
      </c>
    </row>
    <row r="176" spans="1:13" x14ac:dyDescent="0.3">
      <c r="A176" s="15">
        <v>1175</v>
      </c>
      <c r="B176" s="11">
        <v>45536</v>
      </c>
      <c r="C176" s="4" t="s">
        <v>8</v>
      </c>
      <c r="D176" s="4" t="s">
        <v>9</v>
      </c>
      <c r="E176" s="4" t="s">
        <v>15</v>
      </c>
      <c r="F176" s="5" t="s">
        <v>27</v>
      </c>
      <c r="G176" s="6">
        <v>6</v>
      </c>
      <c r="H176" s="17">
        <v>3200</v>
      </c>
      <c r="I176">
        <f t="shared" si="25"/>
        <v>19200</v>
      </c>
      <c r="J176">
        <f t="shared" si="26"/>
        <v>3840</v>
      </c>
      <c r="K176" t="str">
        <f t="shared" si="27"/>
        <v>Sep</v>
      </c>
      <c r="L176" s="32" t="str">
        <f t="shared" si="28"/>
        <v>Q3</v>
      </c>
      <c r="M176" s="32" t="str">
        <f t="shared" si="29"/>
        <v>High Value</v>
      </c>
    </row>
    <row r="177" spans="1:13" x14ac:dyDescent="0.3">
      <c r="A177" s="14">
        <v>1176</v>
      </c>
      <c r="B177" s="10">
        <v>45504</v>
      </c>
      <c r="C177" s="1" t="s">
        <v>8</v>
      </c>
      <c r="D177" s="1" t="s">
        <v>9</v>
      </c>
      <c r="E177" s="1" t="s">
        <v>20</v>
      </c>
      <c r="F177" s="2" t="s">
        <v>21</v>
      </c>
      <c r="G177" s="3">
        <v>3</v>
      </c>
      <c r="H177" s="16">
        <v>2200</v>
      </c>
      <c r="I177">
        <f t="shared" si="25"/>
        <v>6600</v>
      </c>
      <c r="J177">
        <f t="shared" si="26"/>
        <v>1320</v>
      </c>
      <c r="K177" t="str">
        <f t="shared" si="27"/>
        <v>Jul</v>
      </c>
      <c r="L177" s="32" t="str">
        <f t="shared" si="28"/>
        <v>Q3</v>
      </c>
      <c r="M177" s="32" t="str">
        <f t="shared" si="29"/>
        <v>Normal</v>
      </c>
    </row>
    <row r="178" spans="1:13" x14ac:dyDescent="0.3">
      <c r="A178" s="15">
        <v>1177</v>
      </c>
      <c r="B178" s="11">
        <v>45503</v>
      </c>
      <c r="C178" s="4" t="s">
        <v>12</v>
      </c>
      <c r="D178" s="4" t="s">
        <v>13</v>
      </c>
      <c r="E178" s="4" t="s">
        <v>10</v>
      </c>
      <c r="F178" s="5" t="s">
        <v>18</v>
      </c>
      <c r="G178" s="6">
        <v>15</v>
      </c>
      <c r="H178" s="17">
        <v>1200</v>
      </c>
      <c r="I178">
        <f t="shared" si="25"/>
        <v>18000</v>
      </c>
      <c r="J178">
        <f t="shared" si="26"/>
        <v>3600</v>
      </c>
      <c r="K178" t="str">
        <f t="shared" si="27"/>
        <v>Jul</v>
      </c>
      <c r="L178" s="32" t="str">
        <f t="shared" si="28"/>
        <v>Q3</v>
      </c>
      <c r="M178" s="32" t="str">
        <f t="shared" si="29"/>
        <v>High Value</v>
      </c>
    </row>
    <row r="179" spans="1:13" x14ac:dyDescent="0.3">
      <c r="A179" s="14">
        <v>1178</v>
      </c>
      <c r="B179" s="10">
        <v>45308</v>
      </c>
      <c r="C179" s="1" t="s">
        <v>25</v>
      </c>
      <c r="D179" s="1" t="s">
        <v>26</v>
      </c>
      <c r="E179" s="1" t="s">
        <v>20</v>
      </c>
      <c r="F179" s="2" t="s">
        <v>30</v>
      </c>
      <c r="G179" s="3">
        <v>8</v>
      </c>
      <c r="H179" s="16">
        <v>850</v>
      </c>
      <c r="I179">
        <f t="shared" si="25"/>
        <v>6800</v>
      </c>
      <c r="J179">
        <f t="shared" si="26"/>
        <v>1360</v>
      </c>
      <c r="K179" t="str">
        <f t="shared" si="27"/>
        <v>Jan</v>
      </c>
      <c r="L179" s="32" t="str">
        <f t="shared" si="28"/>
        <v>Q1</v>
      </c>
      <c r="M179" s="32" t="str">
        <f t="shared" si="29"/>
        <v>Normal</v>
      </c>
    </row>
    <row r="180" spans="1:13" x14ac:dyDescent="0.3">
      <c r="A180" s="15">
        <v>1179</v>
      </c>
      <c r="B180" s="11">
        <v>45580</v>
      </c>
      <c r="C180" s="4" t="s">
        <v>22</v>
      </c>
      <c r="D180" s="4" t="s">
        <v>9</v>
      </c>
      <c r="E180" s="4" t="s">
        <v>15</v>
      </c>
      <c r="F180" s="5" t="s">
        <v>16</v>
      </c>
      <c r="G180" s="6">
        <v>14</v>
      </c>
      <c r="H180" s="17">
        <v>650</v>
      </c>
      <c r="I180">
        <f t="shared" si="25"/>
        <v>9100</v>
      </c>
      <c r="J180">
        <f t="shared" si="26"/>
        <v>1820</v>
      </c>
      <c r="K180" t="str">
        <f t="shared" si="27"/>
        <v>Oct</v>
      </c>
      <c r="L180" s="32" t="str">
        <f t="shared" si="28"/>
        <v>Q4</v>
      </c>
      <c r="M180" s="32" t="str">
        <f t="shared" si="29"/>
        <v>Normal</v>
      </c>
    </row>
    <row r="181" spans="1:13" x14ac:dyDescent="0.3">
      <c r="A181" s="22">
        <v>1180</v>
      </c>
      <c r="B181" s="23">
        <v>45478</v>
      </c>
      <c r="C181" s="24" t="s">
        <v>12</v>
      </c>
      <c r="D181" s="24" t="s">
        <v>13</v>
      </c>
      <c r="E181" s="24" t="s">
        <v>15</v>
      </c>
      <c r="F181" s="25" t="s">
        <v>34</v>
      </c>
      <c r="G181" s="26">
        <v>15</v>
      </c>
      <c r="H181" s="27">
        <v>1500</v>
      </c>
      <c r="I181">
        <f t="shared" si="25"/>
        <v>22500</v>
      </c>
      <c r="J181">
        <f t="shared" si="26"/>
        <v>4500</v>
      </c>
      <c r="K181" t="str">
        <f t="shared" si="27"/>
        <v>Jul</v>
      </c>
      <c r="L181" s="32" t="str">
        <f t="shared" si="28"/>
        <v>Q3</v>
      </c>
      <c r="M181" s="32" t="str">
        <f t="shared" si="29"/>
        <v>High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3A3B-38D5-4B64-A1D9-5B97E1DA64FB}">
  <dimension ref="A4:F27"/>
  <sheetViews>
    <sheetView tabSelected="1" workbookViewId="0">
      <selection activeCell="H25" sqref="H25"/>
    </sheetView>
  </sheetViews>
  <sheetFormatPr defaultRowHeight="14.4" x14ac:dyDescent="0.3"/>
  <cols>
    <col min="1" max="1" width="12.5546875" bestFit="1" customWidth="1"/>
    <col min="2" max="2" width="14.88671875" bestFit="1" customWidth="1"/>
    <col min="5" max="5" width="12.5546875" bestFit="1" customWidth="1"/>
    <col min="6" max="6" width="14.88671875" bestFit="1" customWidth="1"/>
  </cols>
  <sheetData>
    <row r="4" spans="1:6" x14ac:dyDescent="0.3">
      <c r="A4" s="39" t="s">
        <v>85</v>
      </c>
      <c r="B4" s="39"/>
    </row>
    <row r="5" spans="1:6" x14ac:dyDescent="0.3">
      <c r="E5" s="39" t="s">
        <v>86</v>
      </c>
      <c r="F5" s="39"/>
    </row>
    <row r="6" spans="1:6" x14ac:dyDescent="0.3">
      <c r="A6" s="36" t="s">
        <v>69</v>
      </c>
      <c r="B6" t="s">
        <v>71</v>
      </c>
    </row>
    <row r="7" spans="1:6" x14ac:dyDescent="0.3">
      <c r="A7" s="37" t="s">
        <v>13</v>
      </c>
      <c r="B7" s="38">
        <v>1455800</v>
      </c>
      <c r="E7" s="36" t="s">
        <v>69</v>
      </c>
      <c r="F7" t="s">
        <v>71</v>
      </c>
    </row>
    <row r="8" spans="1:6" x14ac:dyDescent="0.3">
      <c r="A8" s="37" t="s">
        <v>9</v>
      </c>
      <c r="B8" s="38">
        <v>1347350</v>
      </c>
      <c r="E8" s="37" t="s">
        <v>10</v>
      </c>
      <c r="F8" s="38">
        <v>1967700</v>
      </c>
    </row>
    <row r="9" spans="1:6" x14ac:dyDescent="0.3">
      <c r="A9" s="37" t="s">
        <v>29</v>
      </c>
      <c r="B9" s="38">
        <v>767750</v>
      </c>
      <c r="E9" s="37" t="s">
        <v>15</v>
      </c>
      <c r="F9" s="38">
        <v>1749400</v>
      </c>
    </row>
    <row r="10" spans="1:6" x14ac:dyDescent="0.3">
      <c r="A10" s="37" t="s">
        <v>26</v>
      </c>
      <c r="B10" s="38">
        <v>756050</v>
      </c>
      <c r="E10" s="37" t="s">
        <v>20</v>
      </c>
      <c r="F10" s="38">
        <v>609850</v>
      </c>
    </row>
    <row r="11" spans="1:6" x14ac:dyDescent="0.3">
      <c r="A11" s="37" t="s">
        <v>70</v>
      </c>
      <c r="B11" s="38">
        <v>4326950</v>
      </c>
      <c r="E11" s="37" t="s">
        <v>70</v>
      </c>
      <c r="F11" s="38">
        <v>4326950</v>
      </c>
    </row>
    <row r="13" spans="1:6" x14ac:dyDescent="0.3">
      <c r="A13" s="39" t="s">
        <v>87</v>
      </c>
      <c r="B13" s="39"/>
    </row>
    <row r="14" spans="1:6" x14ac:dyDescent="0.3">
      <c r="A14" s="36" t="s">
        <v>69</v>
      </c>
      <c r="B14" t="s">
        <v>71</v>
      </c>
    </row>
    <row r="15" spans="1:6" x14ac:dyDescent="0.3">
      <c r="A15" s="37" t="s">
        <v>72</v>
      </c>
      <c r="B15" s="38">
        <v>216800</v>
      </c>
      <c r="E15" s="39" t="s">
        <v>88</v>
      </c>
      <c r="F15" s="39"/>
    </row>
    <row r="16" spans="1:6" x14ac:dyDescent="0.3">
      <c r="A16" s="37" t="s">
        <v>73</v>
      </c>
      <c r="B16" s="38">
        <v>224150</v>
      </c>
      <c r="E16" s="36" t="s">
        <v>69</v>
      </c>
      <c r="F16" t="s">
        <v>84</v>
      </c>
    </row>
    <row r="17" spans="1:6" x14ac:dyDescent="0.3">
      <c r="A17" s="37" t="s">
        <v>74</v>
      </c>
      <c r="B17" s="38">
        <v>477400</v>
      </c>
      <c r="E17" s="37" t="s">
        <v>22</v>
      </c>
      <c r="F17" s="32">
        <v>27</v>
      </c>
    </row>
    <row r="18" spans="1:6" x14ac:dyDescent="0.3">
      <c r="A18" s="37" t="s">
        <v>75</v>
      </c>
      <c r="B18" s="38">
        <v>329900</v>
      </c>
      <c r="E18" s="37" t="s">
        <v>28</v>
      </c>
      <c r="F18" s="32">
        <v>22</v>
      </c>
    </row>
    <row r="19" spans="1:6" x14ac:dyDescent="0.3">
      <c r="A19" s="37" t="s">
        <v>76</v>
      </c>
      <c r="B19" s="38">
        <v>555400</v>
      </c>
      <c r="E19" s="37" t="s">
        <v>8</v>
      </c>
      <c r="F19" s="32">
        <v>34</v>
      </c>
    </row>
    <row r="20" spans="1:6" x14ac:dyDescent="0.3">
      <c r="A20" s="37" t="s">
        <v>77</v>
      </c>
      <c r="B20" s="38">
        <v>375800</v>
      </c>
      <c r="E20" s="37" t="s">
        <v>25</v>
      </c>
      <c r="F20" s="32">
        <v>29</v>
      </c>
    </row>
    <row r="21" spans="1:6" x14ac:dyDescent="0.3">
      <c r="A21" s="37" t="s">
        <v>78</v>
      </c>
      <c r="B21" s="38">
        <v>336300</v>
      </c>
      <c r="E21" s="37" t="s">
        <v>12</v>
      </c>
      <c r="F21" s="32">
        <v>33</v>
      </c>
    </row>
    <row r="22" spans="1:6" x14ac:dyDescent="0.3">
      <c r="A22" s="37" t="s">
        <v>79</v>
      </c>
      <c r="B22" s="38">
        <v>248750</v>
      </c>
      <c r="E22" s="37" t="s">
        <v>19</v>
      </c>
      <c r="F22" s="32">
        <v>35</v>
      </c>
    </row>
    <row r="23" spans="1:6" x14ac:dyDescent="0.3">
      <c r="A23" s="37" t="s">
        <v>80</v>
      </c>
      <c r="B23" s="38">
        <v>513100</v>
      </c>
      <c r="E23" s="37" t="s">
        <v>70</v>
      </c>
      <c r="F23" s="32">
        <v>180</v>
      </c>
    </row>
    <row r="24" spans="1:6" x14ac:dyDescent="0.3">
      <c r="A24" s="37" t="s">
        <v>81</v>
      </c>
      <c r="B24" s="38">
        <v>457650</v>
      </c>
    </row>
    <row r="25" spans="1:6" x14ac:dyDescent="0.3">
      <c r="A25" s="37" t="s">
        <v>82</v>
      </c>
      <c r="B25" s="38">
        <v>352950</v>
      </c>
    </row>
    <row r="26" spans="1:6" x14ac:dyDescent="0.3">
      <c r="A26" s="37" t="s">
        <v>83</v>
      </c>
      <c r="B26" s="38">
        <v>238750</v>
      </c>
    </row>
    <row r="27" spans="1:6" x14ac:dyDescent="0.3">
      <c r="A27" s="37" t="s">
        <v>70</v>
      </c>
      <c r="B27" s="38">
        <v>4326950</v>
      </c>
    </row>
  </sheetData>
  <mergeCells count="4">
    <mergeCell ref="A4:B4"/>
    <mergeCell ref="A13:B13"/>
    <mergeCell ref="E5:F5"/>
    <mergeCell ref="E15:F1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showGridLines="0" workbookViewId="0"/>
  </sheetViews>
  <sheetFormatPr defaultRowHeight="14.4" x14ac:dyDescent="0.3"/>
  <cols>
    <col min="1" max="1" width="90" customWidth="1"/>
  </cols>
  <sheetData>
    <row r="1" spans="1:1" ht="17.399999999999999" x14ac:dyDescent="0.3">
      <c r="A1" s="7" t="s">
        <v>37</v>
      </c>
    </row>
    <row r="3" spans="1:1" x14ac:dyDescent="0.3">
      <c r="A3" s="8" t="s">
        <v>38</v>
      </c>
    </row>
    <row r="5" spans="1:1" x14ac:dyDescent="0.3">
      <c r="A5" s="9" t="s">
        <v>39</v>
      </c>
    </row>
    <row r="6" spans="1:1" x14ac:dyDescent="0.3">
      <c r="A6" s="9" t="s">
        <v>40</v>
      </c>
    </row>
    <row r="7" spans="1:1" x14ac:dyDescent="0.3">
      <c r="A7" s="9" t="s">
        <v>41</v>
      </c>
    </row>
    <row r="8" spans="1:1" x14ac:dyDescent="0.3">
      <c r="A8" s="9" t="s">
        <v>42</v>
      </c>
    </row>
    <row r="9" spans="1:1" x14ac:dyDescent="0.3">
      <c r="A9" s="9" t="s">
        <v>43</v>
      </c>
    </row>
    <row r="10" spans="1:1" x14ac:dyDescent="0.3">
      <c r="A10" s="9" t="s">
        <v>44</v>
      </c>
    </row>
    <row r="11" spans="1:1" x14ac:dyDescent="0.3">
      <c r="A11" s="9" t="s">
        <v>45</v>
      </c>
    </row>
    <row r="12" spans="1:1" x14ac:dyDescent="0.3">
      <c r="A12" s="9" t="s">
        <v>46</v>
      </c>
    </row>
    <row r="13" spans="1:1" x14ac:dyDescent="0.3">
      <c r="A13" s="9" t="s">
        <v>47</v>
      </c>
    </row>
    <row r="14" spans="1:1" x14ac:dyDescent="0.3">
      <c r="A14" s="9" t="s">
        <v>48</v>
      </c>
    </row>
    <row r="15" spans="1:1" x14ac:dyDescent="0.3">
      <c r="A15" s="9" t="s">
        <v>49</v>
      </c>
    </row>
    <row r="16" spans="1:1" x14ac:dyDescent="0.3">
      <c r="A16" s="9" t="s">
        <v>50</v>
      </c>
    </row>
    <row r="18" spans="1:1" x14ac:dyDescent="0.3">
      <c r="A18" s="8" t="s">
        <v>51</v>
      </c>
    </row>
    <row r="19" spans="1:1" x14ac:dyDescent="0.3">
      <c r="A19" s="9" t="s">
        <v>52</v>
      </c>
    </row>
    <row r="20" spans="1:1" x14ac:dyDescent="0.3">
      <c r="A20" s="9" t="s">
        <v>53</v>
      </c>
    </row>
    <row r="21" spans="1:1" x14ac:dyDescent="0.3">
      <c r="A21" s="9" t="s">
        <v>54</v>
      </c>
    </row>
    <row r="22" spans="1:1" x14ac:dyDescent="0.3">
      <c r="A22" s="9" t="s">
        <v>55</v>
      </c>
    </row>
    <row r="23" spans="1:1" x14ac:dyDescent="0.3">
      <c r="A23" s="9" t="s">
        <v>56</v>
      </c>
    </row>
    <row r="24" spans="1:1" x14ac:dyDescent="0.3">
      <c r="A24" s="9" t="s">
        <v>57</v>
      </c>
    </row>
    <row r="25" spans="1:1" x14ac:dyDescent="0.3">
      <c r="A25" s="9" t="s">
        <v>58</v>
      </c>
    </row>
    <row r="26" spans="1:1" x14ac:dyDescent="0.3">
      <c r="A26" s="9"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74BF-1188-49CE-8503-B82C1A24704C}">
  <dimension ref="A1:B17"/>
  <sheetViews>
    <sheetView workbookViewId="0">
      <selection activeCell="A2" sqref="A2"/>
    </sheetView>
  </sheetViews>
  <sheetFormatPr defaultRowHeight="14.4" x14ac:dyDescent="0.3"/>
  <cols>
    <col min="1" max="1" width="15.21875" bestFit="1" customWidth="1"/>
    <col min="2" max="2" width="13.44140625" bestFit="1" customWidth="1"/>
  </cols>
  <sheetData>
    <row r="1" spans="1:2" x14ac:dyDescent="0.3">
      <c r="A1" s="33" t="s">
        <v>3</v>
      </c>
      <c r="B1" s="33" t="s">
        <v>65</v>
      </c>
    </row>
    <row r="2" spans="1:2" x14ac:dyDescent="0.3">
      <c r="A2" t="s">
        <v>9</v>
      </c>
      <c r="B2">
        <f>SUMIF([1]table!D:D,"North",[1]table!I:I)</f>
        <v>1347350</v>
      </c>
    </row>
    <row r="3" spans="1:2" x14ac:dyDescent="0.3">
      <c r="A3" t="s">
        <v>13</v>
      </c>
      <c r="B3">
        <f>SUMIF([1]table!D:D,"South",[1]table!I:I)</f>
        <v>1455800</v>
      </c>
    </row>
    <row r="4" spans="1:2" x14ac:dyDescent="0.3">
      <c r="A4" t="s">
        <v>26</v>
      </c>
      <c r="B4">
        <f>SUMIF([1]table!D:D,"East",[1]table!I:I)</f>
        <v>756050</v>
      </c>
    </row>
    <row r="5" spans="1:2" x14ac:dyDescent="0.3">
      <c r="A5" t="s">
        <v>29</v>
      </c>
      <c r="B5">
        <f>SUMIF([1]table!D:D,"West",[1]table!I:I)</f>
        <v>767750</v>
      </c>
    </row>
    <row r="10" spans="1:2" x14ac:dyDescent="0.3">
      <c r="A10" s="33" t="s">
        <v>4</v>
      </c>
      <c r="B10" s="33" t="s">
        <v>66</v>
      </c>
    </row>
    <row r="11" spans="1:2" x14ac:dyDescent="0.3">
      <c r="A11" t="s">
        <v>10</v>
      </c>
      <c r="B11">
        <f>COUNTIF([1]table!E:E,"Electronics")</f>
        <v>69</v>
      </c>
    </row>
    <row r="12" spans="1:2" x14ac:dyDescent="0.3">
      <c r="A12" t="s">
        <v>15</v>
      </c>
      <c r="B12">
        <f>COUNTIF([1]table!E:E,"Home")</f>
        <v>63</v>
      </c>
    </row>
    <row r="13" spans="1:2" x14ac:dyDescent="0.3">
      <c r="A13" t="s">
        <v>20</v>
      </c>
      <c r="B13">
        <f>COUNTIF([1]table!E:E,"Apparel")</f>
        <v>48</v>
      </c>
    </row>
    <row r="16" spans="1:2" x14ac:dyDescent="0.3">
      <c r="A16" s="35" t="s">
        <v>67</v>
      </c>
      <c r="B16" s="35"/>
    </row>
    <row r="17" spans="1:2" x14ac:dyDescent="0.3">
      <c r="A17" s="34" t="s">
        <v>68</v>
      </c>
      <c r="B17">
        <v>194</v>
      </c>
    </row>
  </sheetData>
  <mergeCells count="1">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Pivot</vt:lpstr>
      <vt:lpstr>Instructions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karan</cp:lastModifiedBy>
  <dcterms:created xsi:type="dcterms:W3CDTF">2026-06-16T03:32:26Z</dcterms:created>
  <dcterms:modified xsi:type="dcterms:W3CDTF">2026-07-27T14:09:20Z</dcterms:modified>
</cp:coreProperties>
</file>